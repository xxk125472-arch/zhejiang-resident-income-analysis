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 firstSheet="3" activeTab="6"/>
  </bookViews>
  <sheets>
    <sheet name="00_项目说明" sheetId="1" r:id="rId1"/>
    <sheet name="01_raw_5_5_income" sheetId="2" r:id="rId2"/>
    <sheet name="02_raw_5_9_income_expense" sheetId="3" r:id="rId3"/>
    <sheet name="03_raw_5_3_consumption" sheetId="4" r:id="rId4"/>
    <sheet name="04_income_long" sheetId="5" r:id="rId5"/>
    <sheet name="05_income_analysis" sheetId="6" r:id="rId6"/>
    <sheet name="06_income_structure" sheetId="7" r:id="rId7"/>
    <sheet name="07_consumption_analysis" sheetId="8" r:id="rId8"/>
    <sheet name="08_dashboard" sheetId="9" r:id="rId9"/>
    <sheet name="09_data_dictionary" sheetId="10" r:id="rId10"/>
  </sheets>
  <definedNames>
    <definedName name="_xlnm._FilterDatabase" localSheetId="4" hidden="1">'04_income_long'!$A$1:$G$46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<sst xmlns="http://schemas.openxmlformats.org/spreadsheetml/2006/main" count="506" uniqueCount="142">
  <si>
    <t>5-5 城乡居民人均可支配收入情况（2022-2024年）</t>
  </si>
  <si>
    <t/>
  </si>
  <si>
    <t>单位：元</t>
  </si>
  <si>
    <t>项目</t>
  </si>
  <si>
    <t>全体居民</t>
  </si>
  <si>
    <t>城镇常住居民</t>
  </si>
  <si>
    <t>农村常住居民</t>
  </si>
  <si>
    <t>可支配收入</t>
  </si>
  <si>
    <t>工资性收入</t>
  </si>
  <si>
    <t xml:space="preserve">  工资</t>
  </si>
  <si>
    <t xml:space="preserve">  实物福利</t>
  </si>
  <si>
    <t xml:space="preserve">  其他</t>
  </si>
  <si>
    <t>经营净收入</t>
  </si>
  <si>
    <t>第一产业净收入</t>
  </si>
  <si>
    <t>第二产业净收入</t>
  </si>
  <si>
    <t>第三产业净收入</t>
  </si>
  <si>
    <t>财产净收入</t>
  </si>
  <si>
    <t>利息净收入</t>
  </si>
  <si>
    <t>红利收入</t>
  </si>
  <si>
    <t>储蓄性保险净收益</t>
  </si>
  <si>
    <t>转让承包土地经营权租金净收入</t>
  </si>
  <si>
    <t>出租房屋净收入</t>
  </si>
  <si>
    <t>出租其他资产净收入</t>
  </si>
  <si>
    <t>自有住房折算净租金</t>
  </si>
  <si>
    <t>其他财产净收入</t>
  </si>
  <si>
    <t>转移净收入</t>
  </si>
  <si>
    <t>转移性收入</t>
  </si>
  <si>
    <t xml:space="preserve">  养老金或离退休金</t>
  </si>
  <si>
    <t xml:space="preserve">  社会救济和补助</t>
  </si>
  <si>
    <t xml:space="preserve">  惠农补贴</t>
  </si>
  <si>
    <t xml:space="preserve">  政策性生活补贴</t>
  </si>
  <si>
    <t xml:space="preserve">  报销医疗费</t>
  </si>
  <si>
    <t xml:space="preserve">  外出从业人员寄回带回收入</t>
  </si>
  <si>
    <t xml:space="preserve">  赡养收入</t>
  </si>
  <si>
    <t xml:space="preserve">  其他经常转移收入</t>
  </si>
  <si>
    <t>转移性支出</t>
  </si>
  <si>
    <t xml:space="preserve">  个人所得税</t>
  </si>
  <si>
    <t xml:space="preserve">  社会保障支出</t>
  </si>
  <si>
    <t xml:space="preserve">  外来从业人员寄给家人的支出</t>
  </si>
  <si>
    <t xml:space="preserve">  赡养支出</t>
  </si>
  <si>
    <t xml:space="preserve">  其他经常转移支出</t>
  </si>
  <si>
    <t>5-9 城乡居民人均收支情况（2022-2024年）</t>
  </si>
  <si>
    <t>可支配收入（元）</t>
  </si>
  <si>
    <t xml:space="preserve">  工资性收入</t>
  </si>
  <si>
    <t xml:space="preserve">  经营净收入</t>
  </si>
  <si>
    <t xml:space="preserve">  财产净收入</t>
  </si>
  <si>
    <t xml:space="preserve">  转移净收入</t>
  </si>
  <si>
    <t>生活消费支出（元）</t>
  </si>
  <si>
    <t xml:space="preserve">  食品烟酒</t>
  </si>
  <si>
    <t xml:space="preserve">  衣着</t>
  </si>
  <si>
    <t xml:space="preserve">  居住</t>
  </si>
  <si>
    <t xml:space="preserve">  生活用品及服务</t>
  </si>
  <si>
    <t xml:space="preserve">  交通通信</t>
  </si>
  <si>
    <t xml:space="preserve">  教育文化娱乐</t>
  </si>
  <si>
    <t xml:space="preserve">  医疗保健</t>
  </si>
  <si>
    <t xml:space="preserve">  其他用品和服务</t>
  </si>
  <si>
    <t>5-3 城乡居民家庭人均生活消费支出（1978-2024年）</t>
  </si>
  <si>
    <t>年份</t>
  </si>
  <si>
    <t>城镇居民家庭</t>
  </si>
  <si>
    <t>农村居民家庭</t>
  </si>
  <si>
    <t>人均消费性支出(元)</t>
  </si>
  <si>
    <t>比上年增长（%）</t>
  </si>
  <si>
    <t>year</t>
  </si>
  <si>
    <t>resident_group</t>
  </si>
  <si>
    <t>resident_group_cn</t>
  </si>
  <si>
    <t>metric_code</t>
  </si>
  <si>
    <t>metric_name</t>
  </si>
  <si>
    <t>amount_yuan</t>
  </si>
  <si>
    <t>data_source</t>
  </si>
  <si>
    <t>all</t>
  </si>
  <si>
    <t>disposable_income</t>
  </si>
  <si>
    <t>表5-5</t>
  </si>
  <si>
    <t>urban</t>
  </si>
  <si>
    <t>rural</t>
  </si>
  <si>
    <r>
      <rPr>
        <sz val="11"/>
        <color theme="1"/>
        <rFont val="宋体"/>
        <charset val="134"/>
      </rPr>
      <t>全体居民</t>
    </r>
  </si>
  <si>
    <t>wage_income</t>
  </si>
  <si>
    <r>
      <rPr>
        <sz val="11"/>
        <color theme="1"/>
        <rFont val="宋体"/>
        <charset val="134"/>
      </rPr>
      <t>工资性收入</t>
    </r>
  </si>
  <si>
    <r>
      <rPr>
        <sz val="11"/>
        <color theme="1"/>
        <rFont val="宋体"/>
        <charset val="134"/>
      </rPr>
      <t>表</t>
    </r>
    <r>
      <rPr>
        <sz val="11"/>
        <color theme="1"/>
        <rFont val="Times New Roman"/>
        <charset val="134"/>
      </rPr>
      <t>5-5</t>
    </r>
  </si>
  <si>
    <r>
      <rPr>
        <sz val="11"/>
        <color theme="1"/>
        <rFont val="宋体"/>
        <charset val="134"/>
      </rPr>
      <t>城镇常住居民</t>
    </r>
  </si>
  <si>
    <r>
      <rPr>
        <sz val="11"/>
        <color theme="1"/>
        <rFont val="宋体"/>
        <charset val="134"/>
      </rPr>
      <t>农村常住居民</t>
    </r>
  </si>
  <si>
    <t>operating_net_income</t>
  </si>
  <si>
    <r>
      <rPr>
        <sz val="11"/>
        <color theme="1"/>
        <rFont val="宋体"/>
        <charset val="134"/>
      </rPr>
      <t>经营净收入</t>
    </r>
  </si>
  <si>
    <t>net_property_income</t>
  </si>
  <si>
    <r>
      <rPr>
        <sz val="11"/>
        <color theme="1"/>
        <rFont val="宋体"/>
        <charset val="134"/>
      </rPr>
      <t>财产净收入</t>
    </r>
  </si>
  <si>
    <t>Transferred Net Income</t>
  </si>
  <si>
    <r>
      <rPr>
        <sz val="11"/>
        <color theme="1"/>
        <rFont val="宋体"/>
        <charset val="134"/>
      </rPr>
      <t>转移净收入</t>
    </r>
  </si>
  <si>
    <t>all_income</t>
  </si>
  <si>
    <t>urban_income</t>
  </si>
  <si>
    <t>rural_income</t>
  </si>
  <si>
    <t>income_gap</t>
  </si>
  <si>
    <t>income_ratio</t>
  </si>
  <si>
    <t>all_growth_rate</t>
  </si>
  <si>
    <t>urban_growth_rate</t>
  </si>
  <si>
    <t>rural_growth_rate</t>
  </si>
  <si>
    <t>2022年为基期</t>
  </si>
  <si>
    <t>列名</t>
  </si>
  <si>
    <t>含义</t>
  </si>
  <si>
    <t>城乡收入差距 = 城镇居民人均可支配收入 - 农村居民人均可支配收入</t>
  </si>
  <si>
    <t>城乡收入倍差 = 城镇居民人均可支配收入 / 农村居民人均可支配收入</t>
  </si>
  <si>
    <t>总同比增长率=（今年总可支配收入-去年总可支配收入）/去年总可支配收入</t>
  </si>
  <si>
    <t>城镇同比增长率=（今年城镇可支配收入-去年城镇可支配收入）/去年城镇可支配收入</t>
  </si>
  <si>
    <t>农村同比增长率=（今年农村可支配收入-去年农村可支配收入）/去年农村可支配收入</t>
  </si>
  <si>
    <t>初步结论</t>
  </si>
  <si>
    <t>2022—2024年，浙江省城镇和农村居民人均可支配收入均持续增长。
城镇居民收入水平始终高于农村居民。
从绝对差距看，城乡收入差距由33703元扩大到35465元。
从相对差距看，城乡收入倍差由约1.90下降到约1.83，说明城乡收入相对差距有所收敛。</t>
  </si>
  <si>
    <t>share</t>
  </si>
  <si>
    <t>全体居民_all</t>
  </si>
  <si>
    <t>城镇常住居民_urban</t>
  </si>
  <si>
    <t>农村常住居民_rural</t>
  </si>
  <si>
    <t>consumption_expenditure</t>
  </si>
  <si>
    <t>balance</t>
  </si>
  <si>
    <t>consumption_propensity</t>
  </si>
  <si>
    <t>收支结余=可支配收入-生活消费支出</t>
  </si>
  <si>
    <t>平均消费倾向=生活消费支出/可支配收入</t>
  </si>
  <si>
    <t>消费倾向分析结论</t>
  </si>
  <si>
    <t>农村居民平均消费倾向明显高于城镇居民，说明农村居民生活消费支出占可支配收入的比例更高，收支结余空间相对较小。
2022—2024年，农村居民平均消费倾向从73.16%上升至77.23%，说明农村居民消费支出增长较快。</t>
  </si>
  <si>
    <t>指标</t>
  </si>
  <si>
    <t>2022 年</t>
  </si>
  <si>
    <t>2023 年</t>
  </si>
  <si>
    <t>2024 年</t>
  </si>
  <si>
    <t>浙江省2022—2024年城乡居民收入分析Dashboard</t>
  </si>
  <si>
    <t>全体居民人均可支配收入</t>
  </si>
  <si>
    <t>城镇居民人均可支配收入</t>
  </si>
  <si>
    <t>农村居民人均可支配收入</t>
  </si>
  <si>
    <t>城乡收入差距</t>
  </si>
  <si>
    <t>城乡收入倍差</t>
  </si>
  <si>
    <t>全体居民平均消费倾向</t>
  </si>
  <si>
    <t>城镇居民平均消费倾向</t>
  </si>
  <si>
    <t>农村居民平均消费倾向</t>
  </si>
  <si>
    <t>同比增速 / 变化</t>
  </si>
  <si>
    <t>备注</t>
  </si>
  <si>
    <t>67013 元</t>
  </si>
  <si>
    <t>持续增长</t>
  </si>
  <si>
    <t>78251 元</t>
  </si>
  <si>
    <t>稳步增长</t>
  </si>
  <si>
    <t>42786 元</t>
  </si>
  <si>
    <t>增速较快</t>
  </si>
  <si>
    <t>绝对差距扩大</t>
  </si>
  <si>
    <t>相对差距缩小</t>
  </si>
  <si>
    <t>消费占比提升</t>
  </si>
  <si>
    <t>城镇居民收入同比增长率</t>
  </si>
  <si>
    <t>农村居民收入同比增长率</t>
  </si>
  <si>
    <t>核心结论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</si>
</sst>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  <numFmt numFmtId="177" formatCode="0.00_ "/>
    <numFmt numFmtId="178" formatCode="0.000_ "/>
    <numFmt numFmtId="179" formatCode="0.0"/>
  </numFmts>
  <fonts count="3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name val="Times New Roman"/>
      <charset val="134"/>
    </font>
    <font>
      <sz val="11"/>
      <color indexed="8"/>
      <name val="宋体"/>
      <charset val="134"/>
    </font>
    <font>
      <b/>
      <sz val="14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3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8" applyNumberFormat="0" applyFill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0" borderId="3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40" applyNumberFormat="0" applyAlignment="0" applyProtection="0">
      <alignment vertical="center"/>
    </xf>
    <xf numFmtId="0" fontId="20" fillId="11" borderId="41" applyNumberFormat="0" applyAlignment="0" applyProtection="0">
      <alignment vertical="center"/>
    </xf>
    <xf numFmtId="0" fontId="21" fillId="11" borderId="40" applyNumberFormat="0" applyAlignment="0" applyProtection="0">
      <alignment vertical="center"/>
    </xf>
    <xf numFmtId="0" fontId="22" fillId="12" borderId="42" applyNumberFormat="0" applyAlignment="0" applyProtection="0">
      <alignment vertical="center"/>
    </xf>
    <xf numFmtId="0" fontId="23" fillId="0" borderId="43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0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top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 wrapText="1"/>
    </xf>
    <xf numFmtId="10" fontId="2" fillId="0" borderId="9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9" xfId="0" applyFont="1" applyBorder="1">
      <alignment vertical="center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10" fontId="2" fillId="0" borderId="6" xfId="0" applyNumberFormat="1" applyFont="1" applyBorder="1">
      <alignment vertical="center"/>
    </xf>
    <xf numFmtId="0" fontId="2" fillId="0" borderId="25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 wrapText="1"/>
    </xf>
    <xf numFmtId="10" fontId="2" fillId="0" borderId="15" xfId="0" applyNumberFormat="1" applyFont="1" applyBorder="1">
      <alignment vertical="center"/>
    </xf>
    <xf numFmtId="10" fontId="2" fillId="0" borderId="9" xfId="0" applyNumberFormat="1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 wrapText="1"/>
    </xf>
    <xf numFmtId="10" fontId="2" fillId="0" borderId="20" xfId="0" applyNumberFormat="1" applyFont="1" applyBorder="1">
      <alignment vertical="center"/>
    </xf>
    <xf numFmtId="10" fontId="2" fillId="6" borderId="20" xfId="0" applyNumberFormat="1" applyFont="1" applyFill="1" applyBorder="1">
      <alignment vertical="center"/>
    </xf>
    <xf numFmtId="10" fontId="2" fillId="6" borderId="6" xfId="0" applyNumberFormat="1" applyFont="1" applyFill="1" applyBorder="1">
      <alignment vertical="center"/>
    </xf>
    <xf numFmtId="10" fontId="2" fillId="6" borderId="15" xfId="0" applyNumberFormat="1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" fontId="4" fillId="0" borderId="30" xfId="0" applyNumberFormat="1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177" fontId="2" fillId="0" borderId="30" xfId="0" applyNumberFormat="1" applyFont="1" applyBorder="1" applyAlignment="1">
      <alignment horizontal="center"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31" xfId="0" applyNumberFormat="1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7" xfId="0" applyFont="1" applyFill="1" applyBorder="1">
      <alignment vertical="center"/>
    </xf>
    <xf numFmtId="0" fontId="2" fillId="3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  <xf numFmtId="0" fontId="2" fillId="7" borderId="0" xfId="0" applyFont="1" applyFill="1">
      <alignment vertical="center"/>
    </xf>
    <xf numFmtId="1" fontId="4" fillId="0" borderId="0" xfId="0" applyNumberFormat="1" applyFont="1" applyAlignment="1">
      <alignment horizontal="center" vertical="center" wrapText="1"/>
    </xf>
    <xf numFmtId="1" fontId="4" fillId="0" borderId="14" xfId="0" applyNumberFormat="1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8" borderId="0" xfId="0" applyFont="1" applyFill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1" fontId="10" fillId="0" borderId="33" xfId="0" applyNumberFormat="1" applyFont="1" applyBorder="1" applyAlignment="1">
      <alignment horizontal="center" vertical="center" wrapText="1"/>
    </xf>
    <xf numFmtId="1" fontId="10" fillId="0" borderId="34" xfId="0" applyNumberFormat="1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1" fontId="10" fillId="0" borderId="27" xfId="0" applyNumberFormat="1" applyFont="1" applyBorder="1" applyAlignment="1">
      <alignment horizontal="center" vertical="center" wrapText="1"/>
    </xf>
    <xf numFmtId="179" fontId="10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10" fillId="0" borderId="27" xfId="0" applyNumberFormat="1" applyFont="1" applyBorder="1" applyAlignment="1">
      <alignment horizontal="right" vertical="center" wrapText="1"/>
    </xf>
    <xf numFmtId="179" fontId="10" fillId="0" borderId="27" xfId="0" applyNumberFormat="1" applyFont="1" applyBorder="1" applyAlignment="1">
      <alignment horizontal="right" vertical="center" wrapText="1"/>
    </xf>
    <xf numFmtId="0" fontId="10" fillId="0" borderId="27" xfId="0" applyFont="1" applyBorder="1" applyAlignment="1">
      <alignment horizontal="right" vertical="center" wrapText="1"/>
    </xf>
    <xf numFmtId="1" fontId="10" fillId="0" borderId="32" xfId="0" applyNumberFormat="1" applyFont="1" applyBorder="1" applyAlignment="1">
      <alignment horizontal="center" vertical="center" wrapText="1"/>
    </xf>
    <xf numFmtId="1" fontId="10" fillId="0" borderId="36" xfId="0" applyNumberFormat="1" applyFont="1" applyBorder="1" applyAlignment="1">
      <alignment horizontal="center" vertical="center" wrapText="1"/>
    </xf>
    <xf numFmtId="1" fontId="10" fillId="0" borderId="35" xfId="0" applyNumberFormat="1" applyFont="1" applyBorder="1" applyAlignment="1">
      <alignment horizontal="center" vertical="center" wrapText="1"/>
    </xf>
    <xf numFmtId="1" fontId="10" fillId="0" borderId="27" xfId="0" applyNumberFormat="1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城乡居民人均可支配收入趋势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'08_dashboard'!$A$2</c:f>
              <c:strCache>
                <c:ptCount val="1"/>
                <c:pt idx="0">
                  <c:v>全体居民人均可支配收入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'08_dashboard'!$B$1:$D$1</c:f>
              <c:strCache>
                <c:ptCount val="3"/>
                <c:pt idx="0">
                  <c:v>2022 年</c:v>
                </c:pt>
                <c:pt idx="1">
                  <c:v>2023 年</c:v>
                </c:pt>
                <c:pt idx="2">
                  <c:v>2024 年</c:v>
                </c:pt>
              </c:strCache>
            </c:strRef>
          </c:cat>
          <c:val>
            <c:numRef>
              <c:f>'08_dashboard'!$B$2:$D$2</c:f>
              <c:numCache>
                <c:formatCode>#,##0_);[Red]\(#,##0\)</c:formatCode>
                <c:ptCount val="3"/>
                <c:pt idx="0">
                  <c:v>60302</c:v>
                </c:pt>
                <c:pt idx="1">
                  <c:v>63830</c:v>
                </c:pt>
                <c:pt idx="2" c:formatCode="General">
                  <c:v>67013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'08_dashboard'!$A$3</c:f>
              <c:strCache>
                <c:ptCount val="1"/>
                <c:pt idx="0">
                  <c:v>城镇居民人均可支配收入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'08_dashboard'!$B$1:$D$1</c:f>
              <c:strCache>
                <c:ptCount val="3"/>
                <c:pt idx="0">
                  <c:v>2022 年</c:v>
                </c:pt>
                <c:pt idx="1">
                  <c:v>2023 年</c:v>
                </c:pt>
                <c:pt idx="2">
                  <c:v>2024 年</c:v>
                </c:pt>
              </c:strCache>
            </c:strRef>
          </c:cat>
          <c:val>
            <c:numRef>
              <c:f>'08_dashboard'!$B$3:$D$3</c:f>
              <c:numCache>
                <c:formatCode>#,##0_);[Red]\(#,##0\)</c:formatCode>
                <c:ptCount val="3"/>
                <c:pt idx="0">
                  <c:v>71268</c:v>
                </c:pt>
                <c:pt idx="1">
                  <c:v>74997</c:v>
                </c:pt>
                <c:pt idx="2" c:formatCode="General">
                  <c:v>78251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'08_dashboard'!$A$4</c:f>
              <c:strCache>
                <c:ptCount val="1"/>
                <c:pt idx="0">
                  <c:v>农村居民人均可支配收入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'08_dashboard'!$B$1:$D$1</c:f>
              <c:strCache>
                <c:ptCount val="3"/>
                <c:pt idx="0">
                  <c:v>2022 年</c:v>
                </c:pt>
                <c:pt idx="1">
                  <c:v>2023 年</c:v>
                </c:pt>
                <c:pt idx="2">
                  <c:v>2024 年</c:v>
                </c:pt>
              </c:strCache>
            </c:strRef>
          </c:cat>
          <c:val>
            <c:numRef>
              <c:f>'08_dashboard'!$B$4:$D$4</c:f>
              <c:numCache>
                <c:formatCode>#,##0_);[Red]\(#,##0\)</c:formatCode>
                <c:ptCount val="3"/>
                <c:pt idx="0">
                  <c:v>37565</c:v>
                </c:pt>
                <c:pt idx="1">
                  <c:v>40311</c:v>
                </c:pt>
                <c:pt idx="2" c:formatCode="General">
                  <c:v>42786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4212592"/>
        <c:axId val="784213072"/>
      </c:lineChart>
      <c:catAx>
        <c:axId val="78421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4213072"/>
        <c:crosses val="autoZero"/>
        <c:auto val="1"/>
        <c:lblAlgn val="ctr"/>
        <c:lblOffset val="100"/>
        <c:noMultiLvlLbl val="0"/>
      </c:catAx>
      <c:valAx>
        <c:axId val="7842130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421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fdf329-a050-4a50-b3b0-718d697a522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'08_dashboard'!$A$29</c:f>
              <c:strCache>
                <c:ptCount val="1"/>
                <c:pt idx="0">
                  <c:v>城乡收入差距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'08_dashboard'!$B$28:$D$28</c:f>
              <c:strCache>
                <c:ptCount val="3"/>
                <c:pt idx="0">
                  <c:v>2022 年</c:v>
                </c:pt>
                <c:pt idx="1">
                  <c:v>2023 年</c:v>
                </c:pt>
                <c:pt idx="2">
                  <c:v>2024 年</c:v>
                </c:pt>
              </c:strCache>
            </c:strRef>
          </c:cat>
          <c:val>
            <c:numRef>
              <c:f>'08_dashboard'!$B$29:$D$29</c:f>
              <c:numCache>
                <c:formatCode>#,##0_);[Red]\(#,##0\)</c:formatCode>
                <c:ptCount val="3"/>
                <c:pt idx="0">
                  <c:v>33703</c:v>
                </c:pt>
                <c:pt idx="1">
                  <c:v>34686</c:v>
                </c:pt>
                <c:pt idx="2" c:formatCode="General">
                  <c:v>35465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gapDepth val="150"/>
        <c:shape val="box"/>
        <c:axId val="1666048080"/>
        <c:axId val="1666049040"/>
      </c:bar3DChart>
      <c:catAx>
        <c:axId val="166604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6049040"/>
        <c:crosses val="autoZero"/>
        <c:auto val="1"/>
        <c:lblAlgn val="ctr"/>
        <c:lblOffset val="100"/>
        <c:noMultiLvlLbl val="0"/>
      </c:catAx>
      <c:valAx>
        <c:axId val="16660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604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0e40fc9-d5ea-4a81-a2ef-12332735fc33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城乡收入倍差变化趋势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'08_dashboard'!$A$32</c:f>
              <c:strCache>
                <c:ptCount val="1"/>
                <c:pt idx="0">
                  <c:v>城乡收入倍差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'08_dashboard'!$B$31:$D$31</c:f>
              <c:strCache>
                <c:ptCount val="3"/>
                <c:pt idx="0">
                  <c:v>2022 年</c:v>
                </c:pt>
                <c:pt idx="1">
                  <c:v>2023 年</c:v>
                </c:pt>
                <c:pt idx="2">
                  <c:v>2024 年</c:v>
                </c:pt>
              </c:strCache>
            </c:strRef>
          </c:cat>
          <c:val>
            <c:numRef>
              <c:f>'08_dashboard'!$B$32:$D$32</c:f>
              <c:numCache>
                <c:formatCode>0.00_ </c:formatCode>
                <c:ptCount val="3"/>
                <c:pt idx="0">
                  <c:v>1.89719153467323</c:v>
                </c:pt>
                <c:pt idx="1">
                  <c:v>1.8604599240902</c:v>
                </c:pt>
                <c:pt idx="2">
                  <c:v>1.82889262842986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26604496"/>
        <c:axId val="1926604976"/>
      </c:lineChart>
      <c:catAx>
        <c:axId val="192660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6604976"/>
        <c:crosses val="autoZero"/>
        <c:auto val="1"/>
        <c:lblAlgn val="ctr"/>
        <c:lblOffset val="100"/>
        <c:noMultiLvlLbl val="0"/>
      </c:catAx>
      <c:valAx>
        <c:axId val="19266049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660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086369-1573-4507-8ccf-831c3e60718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城镇与农村居民收入同比增长率对比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'08_dashboard'!$A$36</c:f>
              <c:strCache>
                <c:ptCount val="1"/>
                <c:pt idx="0">
                  <c:v>2023 年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'08_dashboard'!$B$35:$C$35</c:f>
              <c:strCache>
                <c:ptCount val="2"/>
                <c:pt idx="0">
                  <c:v>城镇居民收入同比增长率</c:v>
                </c:pt>
                <c:pt idx="1">
                  <c:v>农村居民收入同比增长率</c:v>
                </c:pt>
              </c:strCache>
            </c:strRef>
          </c:cat>
          <c:val>
            <c:numRef>
              <c:f>'08_dashboard'!$B$36:$C$36</c:f>
              <c:numCache>
                <c:formatCode>0.00%</c:formatCode>
                <c:ptCount val="2"/>
                <c:pt idx="0">
                  <c:v>0.0523236235056407</c:v>
                </c:pt>
                <c:pt idx="1">
                  <c:v>0.0730999600692134</c:v>
                </c:pt>
              </c:numCache>
            </c:numRef>
          </c:val>
        </c:ser>
        <c:ser>
          <c:idx val="1"/>
          <c:order val="1"/>
          <c:tx>
            <c:strRef>
              <c:f>'08_dashboard'!$A$37</c:f>
              <c:strCache>
                <c:ptCount val="1"/>
                <c:pt idx="0">
                  <c:v>2024 年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'08_dashboard'!$B$35:$C$35</c:f>
              <c:strCache>
                <c:ptCount val="2"/>
                <c:pt idx="0">
                  <c:v>城镇居民收入同比增长率</c:v>
                </c:pt>
                <c:pt idx="1">
                  <c:v>农村居民收入同比增长率</c:v>
                </c:pt>
              </c:strCache>
            </c:strRef>
          </c:cat>
          <c:val>
            <c:numRef>
              <c:f>'08_dashboard'!$B$37:$C$37</c:f>
              <c:numCache>
                <c:formatCode>0.00%</c:formatCode>
                <c:ptCount val="2"/>
                <c:pt idx="0">
                  <c:v>0.0433884022027548</c:v>
                </c:pt>
                <c:pt idx="1">
                  <c:v>0.0613976334003126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gapDepth val="150"/>
        <c:shape val="box"/>
        <c:axId val="1926600176"/>
        <c:axId val="1926596816"/>
      </c:bar3DChart>
      <c:catAx>
        <c:axId val="192660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6596816"/>
        <c:crosses val="autoZero"/>
        <c:auto val="1"/>
        <c:lblAlgn val="ctr"/>
        <c:lblOffset val="100"/>
        <c:noMultiLvlLbl val="0"/>
      </c:catAx>
      <c:valAx>
        <c:axId val="19265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660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ee92fc-a337-4453-94cc-362490c4d666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城乡居民平均消费倾向对比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6094925634296"/>
          <c:y val="0.176851851851852"/>
          <c:w val="0.853349518810149"/>
          <c:h val="0.535354330708661"/>
        </c:manualLayout>
      </c:layout>
      <c:lineChart>
        <c:grouping val="standard"/>
        <c:varyColors val="0"/>
        <c:ser>
          <c:idx val="0"/>
          <c:order val="0"/>
          <c:tx>
            <c:strRef>
              <c:f>'08_dashboard'!$A$40</c:f>
              <c:strCache>
                <c:ptCount val="1"/>
                <c:pt idx="0">
                  <c:v>全体居民平均消费倾向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'08_dashboard'!$B$39:$D$39</c:f>
              <c:strCache>
                <c:ptCount val="3"/>
                <c:pt idx="0">
                  <c:v>2022 年</c:v>
                </c:pt>
                <c:pt idx="1">
                  <c:v>2023 年</c:v>
                </c:pt>
                <c:pt idx="2">
                  <c:v>2024 年</c:v>
                </c:pt>
              </c:strCache>
            </c:strRef>
          </c:cat>
          <c:val>
            <c:numRef>
              <c:f>'08_dashboard'!$B$40:$D$40</c:f>
              <c:numCache>
                <c:formatCode>0.00%</c:formatCode>
                <c:ptCount val="3"/>
                <c:pt idx="0">
                  <c:v>0.646263805512255</c:v>
                </c:pt>
                <c:pt idx="1">
                  <c:v>0.661037129876234</c:v>
                </c:pt>
                <c:pt idx="2">
                  <c:v>0.6731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'08_dashboard'!$A$41</c:f>
              <c:strCache>
                <c:ptCount val="1"/>
                <c:pt idx="0">
                  <c:v>城镇居民平均消费倾向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'08_dashboard'!$B$39:$D$39</c:f>
              <c:strCache>
                <c:ptCount val="3"/>
                <c:pt idx="0">
                  <c:v>2022 年</c:v>
                </c:pt>
                <c:pt idx="1">
                  <c:v>2023 年</c:v>
                </c:pt>
                <c:pt idx="2">
                  <c:v>2024 年</c:v>
                </c:pt>
              </c:strCache>
            </c:strRef>
          </c:cat>
          <c:val>
            <c:numRef>
              <c:f>'08_dashboard'!$B$41:$D$41</c:f>
              <c:numCache>
                <c:formatCode>0.00%</c:formatCode>
                <c:ptCount val="3"/>
                <c:pt idx="0">
                  <c:v>0.6246</c:v>
                </c:pt>
                <c:pt idx="1">
                  <c:v>0.6369</c:v>
                </c:pt>
                <c:pt idx="2">
                  <c:v>0.648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'08_dashboard'!$A$42</c:f>
              <c:strCache>
                <c:ptCount val="1"/>
                <c:pt idx="0">
                  <c:v>农村居民平均消费倾向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'08_dashboard'!$B$39:$D$39</c:f>
              <c:strCache>
                <c:ptCount val="3"/>
                <c:pt idx="0">
                  <c:v>2022 年</c:v>
                </c:pt>
                <c:pt idx="1">
                  <c:v>2023 年</c:v>
                </c:pt>
                <c:pt idx="2">
                  <c:v>2024 年</c:v>
                </c:pt>
              </c:strCache>
            </c:strRef>
          </c:cat>
          <c:val>
            <c:numRef>
              <c:f>'08_dashboard'!$B$42:$D$42</c:f>
              <c:numCache>
                <c:formatCode>0.00%</c:formatCode>
                <c:ptCount val="3"/>
                <c:pt idx="0">
                  <c:v>0.7316</c:v>
                </c:pt>
                <c:pt idx="1">
                  <c:v>0.7558</c:v>
                </c:pt>
                <c:pt idx="2">
                  <c:v>0.7723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96045088"/>
        <c:axId val="1996046048"/>
      </c:lineChart>
      <c:catAx>
        <c:axId val="199604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046048"/>
        <c:crosses val="autoZero"/>
        <c:auto val="1"/>
        <c:lblAlgn val="ctr"/>
        <c:lblOffset val="100"/>
        <c:noMultiLvlLbl val="0"/>
      </c:catAx>
      <c:valAx>
        <c:axId val="19960460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04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e5ae03-0e13-4c3b-b4eb-4257c86dab37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hyperlink" Target="#'08_dashboard'!A1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200025</xdr:colOff>
      <xdr:row>6</xdr:row>
      <xdr:rowOff>95250</xdr:rowOff>
    </xdr:from>
    <xdr:ext cx="123825" cy="264560"/>
    <xdr:sp>
      <xdr:nvSpPr>
        <xdr:cNvPr id="2" name="文本框 1">
          <a:hlinkClick xmlns:r="http://schemas.openxmlformats.org/officeDocument/2006/relationships" r:id="rId6"/>
        </xdr:cNvPr>
        <xdr:cNvSpPr txBox="1"/>
      </xdr:nvSpPr>
      <xdr:spPr>
        <a:xfrm>
          <a:off x="7067550" y="2276475"/>
          <a:ext cx="12382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4</xdr:col>
      <xdr:colOff>114299</xdr:colOff>
      <xdr:row>1</xdr:row>
      <xdr:rowOff>238125</xdr:rowOff>
    </xdr:from>
    <xdr:to>
      <xdr:col>12</xdr:col>
      <xdr:colOff>666750</xdr:colOff>
      <xdr:row>32</xdr:row>
      <xdr:rowOff>85725</xdr:rowOff>
    </xdr:to>
    <xdr:sp>
      <xdr:nvSpPr>
        <xdr:cNvPr id="4" name="矩形: 圆角 3"/>
        <xdr:cNvSpPr/>
      </xdr:nvSpPr>
      <xdr:spPr>
        <a:xfrm>
          <a:off x="6295390" y="742950"/>
          <a:ext cx="6039485" cy="73723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3600">
              <a:solidFill>
                <a:schemeClr val="accent6">
                  <a:lumMod val="50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2024</a:t>
          </a:r>
          <a:r>
            <a:rPr lang="zh-CN" altLang="en-US" sz="3600">
              <a:solidFill>
                <a:schemeClr val="accent6">
                  <a:lumMod val="50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</a:t>
          </a:r>
          <a:r>
            <a:rPr lang="en-US" altLang="zh-CN" sz="3600">
              <a:solidFill>
                <a:schemeClr val="accent6">
                  <a:lumMod val="50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KPI</a:t>
          </a:r>
          <a:r>
            <a:rPr lang="zh-CN" altLang="en-US" sz="3600">
              <a:solidFill>
                <a:schemeClr val="accent6">
                  <a:lumMod val="50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卡片</a:t>
          </a:r>
          <a:endParaRPr lang="zh-CN" altLang="en-US" sz="3600">
            <a:solidFill>
              <a:schemeClr val="accent6">
                <a:lumMod val="50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419099</xdr:colOff>
      <xdr:row>5</xdr:row>
      <xdr:rowOff>76201</xdr:rowOff>
    </xdr:from>
    <xdr:to>
      <xdr:col>7</xdr:col>
      <xdr:colOff>638175</xdr:colOff>
      <xdr:row>12</xdr:row>
      <xdr:rowOff>114301</xdr:rowOff>
    </xdr:to>
    <xdr:sp>
      <xdr:nvSpPr>
        <xdr:cNvPr id="6" name="矩形: 圆角 5"/>
        <xdr:cNvSpPr/>
      </xdr:nvSpPr>
      <xdr:spPr>
        <a:xfrm>
          <a:off x="6600190" y="2047875"/>
          <a:ext cx="2277110" cy="1447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330200" dist="139700" dir="2700000" sx="104000" sy="104000" algn="tl" rotWithShape="0">
            <a:prstClr val="black">
              <a:alpha val="54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2024</a:t>
          </a:r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全体居民收入</a:t>
          </a:r>
          <a:endParaRPr lang="en-US" altLang="zh-CN" sz="11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en-US" altLang="zh-CN" sz="16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67,013 </a:t>
          </a:r>
          <a:r>
            <a:rPr lang="zh-CN" altLang="en-US" sz="16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元</a:t>
          </a:r>
          <a:endParaRPr lang="zh-CN" altLang="en-US" sz="11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6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同比 </a:t>
          </a:r>
          <a:r>
            <a:rPr lang="en-US" altLang="zh-CN" sz="16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+4.99%</a:t>
          </a:r>
          <a:endParaRPr lang="en-US" altLang="en-US" sz="16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9</xdr:col>
      <xdr:colOff>76199</xdr:colOff>
      <xdr:row>21</xdr:row>
      <xdr:rowOff>123826</xdr:rowOff>
    </xdr:from>
    <xdr:to>
      <xdr:col>12</xdr:col>
      <xdr:colOff>295275</xdr:colOff>
      <xdr:row>28</xdr:row>
      <xdr:rowOff>180976</xdr:rowOff>
    </xdr:to>
    <xdr:sp>
      <xdr:nvSpPr>
        <xdr:cNvPr id="9" name="矩形: 圆角 8"/>
        <xdr:cNvSpPr/>
      </xdr:nvSpPr>
      <xdr:spPr>
        <a:xfrm>
          <a:off x="9686290" y="5962650"/>
          <a:ext cx="2277110" cy="142875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330200" dist="139700" dir="2700000" sx="104000" sy="104000" algn="tl" rotWithShape="0">
            <a:prstClr val="black">
              <a:alpha val="54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平均消费倾向</a:t>
          </a:r>
          <a:endParaRPr lang="zh-CN" altLang="en-US" sz="18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en-US" altLang="zh-CN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67.31%</a:t>
          </a:r>
          <a:endParaRPr lang="en-US" altLang="zh-CN" sz="18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较上年提升</a:t>
          </a:r>
          <a:endParaRPr lang="en-US" altLang="en-US" sz="16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390524</xdr:colOff>
      <xdr:row>21</xdr:row>
      <xdr:rowOff>114301</xdr:rowOff>
    </xdr:from>
    <xdr:to>
      <xdr:col>7</xdr:col>
      <xdr:colOff>609600</xdr:colOff>
      <xdr:row>28</xdr:row>
      <xdr:rowOff>171451</xdr:rowOff>
    </xdr:to>
    <xdr:sp>
      <xdr:nvSpPr>
        <xdr:cNvPr id="10" name="矩形: 圆角 9"/>
        <xdr:cNvSpPr/>
      </xdr:nvSpPr>
      <xdr:spPr>
        <a:xfrm>
          <a:off x="6571615" y="5953125"/>
          <a:ext cx="2277110" cy="142875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330200" dist="139700" dir="2700000" sx="104000" sy="104000" algn="tl" rotWithShape="0">
            <a:prstClr val="black">
              <a:alpha val="54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城乡收入倍差</a:t>
          </a:r>
          <a:endParaRPr lang="zh-CN" altLang="en-US" sz="18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en-US" altLang="zh-CN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1.83 </a:t>
          </a:r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倍</a:t>
          </a:r>
          <a:endParaRPr lang="zh-CN" altLang="en-US" sz="18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较上年下降</a:t>
          </a:r>
          <a:endParaRPr lang="en-US" altLang="en-US" sz="16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9</xdr:col>
      <xdr:colOff>19049</xdr:colOff>
      <xdr:row>15</xdr:row>
      <xdr:rowOff>47626</xdr:rowOff>
    </xdr:from>
    <xdr:to>
      <xdr:col>12</xdr:col>
      <xdr:colOff>238125</xdr:colOff>
      <xdr:row>18</xdr:row>
      <xdr:rowOff>409576</xdr:rowOff>
    </xdr:to>
    <xdr:sp>
      <xdr:nvSpPr>
        <xdr:cNvPr id="11" name="矩形: 圆角 10"/>
        <xdr:cNvSpPr/>
      </xdr:nvSpPr>
      <xdr:spPr>
        <a:xfrm>
          <a:off x="9629140" y="4000500"/>
          <a:ext cx="2277110" cy="14097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330200" dist="139700" dir="2700000" sx="104000" sy="104000" algn="tl" rotWithShape="0">
            <a:prstClr val="black">
              <a:alpha val="54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城乡收入差距</a:t>
          </a:r>
          <a:endParaRPr lang="zh-CN" altLang="en-US" sz="18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en-US" altLang="zh-CN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35,465 </a:t>
          </a:r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元</a:t>
          </a:r>
          <a:endParaRPr lang="zh-CN" altLang="en-US" sz="18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同比 </a:t>
          </a:r>
          <a:r>
            <a:rPr lang="en-US" altLang="zh-CN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+2.25%</a:t>
          </a:r>
          <a:endParaRPr lang="en-US" altLang="en-US" sz="16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419099</xdr:colOff>
      <xdr:row>15</xdr:row>
      <xdr:rowOff>19051</xdr:rowOff>
    </xdr:from>
    <xdr:to>
      <xdr:col>7</xdr:col>
      <xdr:colOff>638175</xdr:colOff>
      <xdr:row>18</xdr:row>
      <xdr:rowOff>381001</xdr:rowOff>
    </xdr:to>
    <xdr:sp>
      <xdr:nvSpPr>
        <xdr:cNvPr id="12" name="矩形: 圆角 11"/>
        <xdr:cNvSpPr/>
      </xdr:nvSpPr>
      <xdr:spPr>
        <a:xfrm>
          <a:off x="6600190" y="3971925"/>
          <a:ext cx="2277110" cy="14097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330200" dist="139700" dir="2700000" sx="104000" sy="104000" algn="tl" rotWithShape="0">
            <a:prstClr val="black">
              <a:alpha val="54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2024</a:t>
          </a:r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农村居民收入</a:t>
          </a:r>
          <a:endParaRPr lang="zh-CN" altLang="en-US" sz="18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en-US" altLang="zh-CN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42,786 </a:t>
          </a:r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元</a:t>
          </a:r>
          <a:endParaRPr lang="zh-CN" altLang="en-US" sz="18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同比 </a:t>
          </a:r>
          <a:r>
            <a:rPr lang="en-US" altLang="zh-CN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+6.14%</a:t>
          </a:r>
          <a:endParaRPr lang="en-US" altLang="en-US" sz="16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685799</xdr:colOff>
      <xdr:row>5</xdr:row>
      <xdr:rowOff>114301</xdr:rowOff>
    </xdr:from>
    <xdr:to>
      <xdr:col>12</xdr:col>
      <xdr:colOff>219075</xdr:colOff>
      <xdr:row>12</xdr:row>
      <xdr:rowOff>152401</xdr:rowOff>
    </xdr:to>
    <xdr:sp>
      <xdr:nvSpPr>
        <xdr:cNvPr id="13" name="矩形: 圆角 12"/>
        <xdr:cNvSpPr/>
      </xdr:nvSpPr>
      <xdr:spPr>
        <a:xfrm>
          <a:off x="9610090" y="2085975"/>
          <a:ext cx="2277110" cy="14478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330200" dist="139700" dir="2700000" sx="104000" sy="104000" algn="tl" rotWithShape="0">
            <a:prstClr val="black">
              <a:alpha val="54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2024</a:t>
          </a:r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城镇居民收入</a:t>
          </a:r>
          <a:endParaRPr lang="zh-CN" altLang="en-US" sz="18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en-US" altLang="zh-CN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78,251 </a:t>
          </a:r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元</a:t>
          </a:r>
          <a:endParaRPr lang="zh-CN" altLang="en-US" sz="18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同比 </a:t>
          </a:r>
          <a:r>
            <a:rPr lang="en-US" altLang="zh-CN" sz="180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+4.34%</a:t>
          </a:r>
          <a:endParaRPr lang="en-US" altLang="en-US" sz="1600">
            <a:solidFill>
              <a:schemeClr val="tx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</xdr:col>
      <xdr:colOff>90487</xdr:colOff>
      <xdr:row>1</xdr:row>
      <xdr:rowOff>304800</xdr:rowOff>
    </xdr:from>
    <xdr:to>
      <xdr:col>19</xdr:col>
      <xdr:colOff>547687</xdr:colOff>
      <xdr:row>13</xdr:row>
      <xdr:rowOff>19050</xdr:rowOff>
    </xdr:to>
    <xdr:graphicFrame>
      <xdr:nvGraphicFramePr>
        <xdr:cNvPr id="14" name="图表 13"/>
        <xdr:cNvGraphicFramePr/>
      </xdr:nvGraphicFramePr>
      <xdr:xfrm>
        <a:off x="12444095" y="809625"/>
        <a:ext cx="457200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428625</xdr:colOff>
      <xdr:row>13</xdr:row>
      <xdr:rowOff>133350</xdr:rowOff>
    </xdr:from>
    <xdr:ext cx="3981450" cy="676275"/>
    <xdr:sp>
      <xdr:nvSpPr>
        <xdr:cNvPr id="15" name="文本框 14"/>
        <xdr:cNvSpPr txBox="1"/>
      </xdr:nvSpPr>
      <xdr:spPr>
        <a:xfrm>
          <a:off x="12782550" y="3705225"/>
          <a:ext cx="3981450" cy="676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/>
            <a:t>2022—2024</a:t>
          </a:r>
          <a:r>
            <a:rPr lang="zh-CN" altLang="en-US" sz="1100"/>
            <a:t>年，浙江省全体、城镇和农村居民人均可支配收入均保持增长。其中城镇居民收入水平最高，农村居民收入水平相对较低，但农村居民收入增长速度较快。</a:t>
          </a:r>
          <a:endParaRPr lang="zh-CN" altLang="en-US" sz="1100"/>
        </a:p>
      </xdr:txBody>
    </xdr:sp>
    <xdr:clientData/>
  </xdr:oneCellAnchor>
  <xdr:twoCellAnchor>
    <xdr:from>
      <xdr:col>13</xdr:col>
      <xdr:colOff>133350</xdr:colOff>
      <xdr:row>17</xdr:row>
      <xdr:rowOff>28575</xdr:rowOff>
    </xdr:from>
    <xdr:to>
      <xdr:col>19</xdr:col>
      <xdr:colOff>590550</xdr:colOff>
      <xdr:row>28</xdr:row>
      <xdr:rowOff>142875</xdr:rowOff>
    </xdr:to>
    <xdr:graphicFrame>
      <xdr:nvGraphicFramePr>
        <xdr:cNvPr id="3" name="图表 2"/>
        <xdr:cNvGraphicFramePr/>
      </xdr:nvGraphicFramePr>
      <xdr:xfrm>
        <a:off x="12487275" y="46101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13</xdr:col>
      <xdr:colOff>619125</xdr:colOff>
      <xdr:row>29</xdr:row>
      <xdr:rowOff>114300</xdr:rowOff>
    </xdr:from>
    <xdr:ext cx="3829050" cy="642484"/>
    <xdr:sp>
      <xdr:nvSpPr>
        <xdr:cNvPr id="5" name="文本框 4"/>
        <xdr:cNvSpPr txBox="1"/>
      </xdr:nvSpPr>
      <xdr:spPr>
        <a:xfrm>
          <a:off x="12973050" y="7534275"/>
          <a:ext cx="3829050" cy="641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2022—2024</a:t>
          </a:r>
          <a:r>
            <a:rPr lang="zh-CN" altLang="en-US" sz="1100"/>
            <a:t>年，浙江省城乡居民人均可支配收入绝对差距由</a:t>
          </a:r>
          <a:r>
            <a:rPr lang="en-US" altLang="zh-CN" sz="1100"/>
            <a:t>33703</a:t>
          </a:r>
          <a:r>
            <a:rPr lang="zh-CN" altLang="en-US" sz="1100"/>
            <a:t>元增加至</a:t>
          </a:r>
          <a:r>
            <a:rPr lang="en-US" altLang="zh-CN" sz="1100"/>
            <a:t>35465</a:t>
          </a:r>
          <a:r>
            <a:rPr lang="zh-CN" altLang="en-US" sz="1100"/>
            <a:t>元，说明从金额差距看，城乡收入差距仍在扩大。</a:t>
          </a:r>
          <a:endParaRPr lang="zh-CN" altLang="en-US" sz="1100"/>
        </a:p>
      </xdr:txBody>
    </xdr:sp>
    <xdr:clientData/>
  </xdr:oneCellAnchor>
  <xdr:twoCellAnchor>
    <xdr:from>
      <xdr:col>20</xdr:col>
      <xdr:colOff>342900</xdr:colOff>
      <xdr:row>1</xdr:row>
      <xdr:rowOff>285750</xdr:rowOff>
    </xdr:from>
    <xdr:to>
      <xdr:col>27</xdr:col>
      <xdr:colOff>114300</xdr:colOff>
      <xdr:row>13</xdr:row>
      <xdr:rowOff>0</xdr:rowOff>
    </xdr:to>
    <xdr:graphicFrame>
      <xdr:nvGraphicFramePr>
        <xdr:cNvPr id="8" name="图表 7"/>
        <xdr:cNvGraphicFramePr/>
      </xdr:nvGraphicFramePr>
      <xdr:xfrm>
        <a:off x="17497425" y="790575"/>
        <a:ext cx="457200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21</xdr:col>
      <xdr:colOff>104775</xdr:colOff>
      <xdr:row>13</xdr:row>
      <xdr:rowOff>180973</xdr:rowOff>
    </xdr:from>
    <xdr:ext cx="3838575" cy="514351"/>
    <xdr:sp>
      <xdr:nvSpPr>
        <xdr:cNvPr id="16" name="文本框 15"/>
        <xdr:cNvSpPr txBox="1"/>
      </xdr:nvSpPr>
      <xdr:spPr>
        <a:xfrm>
          <a:off x="17945100" y="3752215"/>
          <a:ext cx="3838575" cy="5143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/>
            <a:t>2022—2024</a:t>
          </a:r>
          <a:r>
            <a:rPr lang="zh-CN" altLang="en-US" sz="1100"/>
            <a:t>年，浙江省城乡收入倍差由</a:t>
          </a:r>
          <a:r>
            <a:rPr lang="en-US" altLang="zh-CN" sz="1100"/>
            <a:t>1.90</a:t>
          </a:r>
          <a:r>
            <a:rPr lang="zh-CN" altLang="en-US" sz="1100"/>
            <a:t>下降至</a:t>
          </a:r>
          <a:r>
            <a:rPr lang="en-US" altLang="zh-CN" sz="1100"/>
            <a:t>1.83</a:t>
          </a:r>
          <a:r>
            <a:rPr lang="zh-CN" altLang="en-US" sz="1100"/>
            <a:t>，说明虽然城乡收入绝对差距仍然存在，但相对差距呈缩小趋势。</a:t>
          </a:r>
          <a:endParaRPr lang="zh-CN" altLang="en-US" sz="1100"/>
        </a:p>
      </xdr:txBody>
    </xdr:sp>
    <xdr:clientData/>
  </xdr:oneCellAnchor>
  <xdr:twoCellAnchor>
    <xdr:from>
      <xdr:col>20</xdr:col>
      <xdr:colOff>381000</xdr:colOff>
      <xdr:row>17</xdr:row>
      <xdr:rowOff>47625</xdr:rowOff>
    </xdr:from>
    <xdr:to>
      <xdr:col>27</xdr:col>
      <xdr:colOff>152400</xdr:colOff>
      <xdr:row>28</xdr:row>
      <xdr:rowOff>161925</xdr:rowOff>
    </xdr:to>
    <xdr:graphicFrame>
      <xdr:nvGraphicFramePr>
        <xdr:cNvPr id="17" name="图表 16"/>
        <xdr:cNvGraphicFramePr/>
      </xdr:nvGraphicFramePr>
      <xdr:xfrm>
        <a:off x="17535525" y="46291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20</xdr:col>
      <xdr:colOff>619125</xdr:colOff>
      <xdr:row>29</xdr:row>
      <xdr:rowOff>95249</xdr:rowOff>
    </xdr:from>
    <xdr:ext cx="3914775" cy="771525"/>
    <xdr:sp>
      <xdr:nvSpPr>
        <xdr:cNvPr id="18" name="文本框 17"/>
        <xdr:cNvSpPr txBox="1"/>
      </xdr:nvSpPr>
      <xdr:spPr>
        <a:xfrm>
          <a:off x="17773650" y="7514590"/>
          <a:ext cx="3914775" cy="771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/>
            <a:t>2023</a:t>
          </a:r>
          <a:r>
            <a:rPr lang="zh-CN" altLang="en-US" sz="1100"/>
            <a:t>年和</a:t>
          </a:r>
          <a:r>
            <a:rPr lang="en-US" altLang="zh-CN" sz="1100"/>
            <a:t>2024</a:t>
          </a:r>
          <a:r>
            <a:rPr lang="zh-CN" altLang="en-US" sz="1100"/>
            <a:t>年，农村居民人均可支配收入同比增速均高于城镇居民，说明农村居民收入增长动力较强，是城乡收入倍差下降的重要原因。</a:t>
          </a:r>
          <a:endParaRPr lang="zh-CN" altLang="en-US" sz="1100"/>
        </a:p>
      </xdr:txBody>
    </xdr:sp>
    <xdr:clientData/>
  </xdr:oneCellAnchor>
  <xdr:twoCellAnchor>
    <xdr:from>
      <xdr:col>27</xdr:col>
      <xdr:colOff>409575</xdr:colOff>
      <xdr:row>1</xdr:row>
      <xdr:rowOff>285750</xdr:rowOff>
    </xdr:from>
    <xdr:to>
      <xdr:col>34</xdr:col>
      <xdr:colOff>180975</xdr:colOff>
      <xdr:row>12</xdr:row>
      <xdr:rowOff>152400</xdr:rowOff>
    </xdr:to>
    <xdr:graphicFrame>
      <xdr:nvGraphicFramePr>
        <xdr:cNvPr id="19" name="图表 18"/>
        <xdr:cNvGraphicFramePr/>
      </xdr:nvGraphicFramePr>
      <xdr:xfrm>
        <a:off x="22364700" y="7905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28</xdr:col>
      <xdr:colOff>47625</xdr:colOff>
      <xdr:row>13</xdr:row>
      <xdr:rowOff>180974</xdr:rowOff>
    </xdr:from>
    <xdr:ext cx="3981450" cy="642484"/>
    <xdr:sp>
      <xdr:nvSpPr>
        <xdr:cNvPr id="20" name="文本框 19"/>
        <xdr:cNvSpPr txBox="1"/>
      </xdr:nvSpPr>
      <xdr:spPr>
        <a:xfrm>
          <a:off x="22688550" y="3752215"/>
          <a:ext cx="3981450" cy="6426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2022—2024</a:t>
          </a:r>
          <a:r>
            <a:rPr lang="zh-CN" altLang="en-US" sz="1100"/>
            <a:t>年，农村居民平均消费倾向明显高于城镇居民，说明农村居民消费支出占收入的比例更高，收支结余空间相对较小。</a:t>
          </a:r>
          <a:endParaRPr lang="zh-CN" altLang="en-US" sz="1100"/>
        </a:p>
      </xdr:txBody>
    </xdr:sp>
    <xdr:clientData/>
  </xdr:oneCellAnchor>
  <xdr:oneCellAnchor>
    <xdr:from>
      <xdr:col>17</xdr:col>
      <xdr:colOff>1</xdr:colOff>
      <xdr:row>38</xdr:row>
      <xdr:rowOff>9525</xdr:rowOff>
    </xdr:from>
    <xdr:ext cx="4810124" cy="1559401"/>
    <xdr:sp>
      <xdr:nvSpPr>
        <xdr:cNvPr id="21" name="文本框 20"/>
        <xdr:cNvSpPr txBox="1"/>
      </xdr:nvSpPr>
      <xdr:spPr>
        <a:xfrm>
          <a:off x="15097125" y="9239250"/>
          <a:ext cx="4810125" cy="1558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CN" sz="1100"/>
            <a:t>1. 2022—2024</a:t>
          </a:r>
          <a:r>
            <a:rPr lang="zh-CN" altLang="en-US" sz="1100"/>
            <a:t>年，浙江省全体、城镇和农村居民人均可支配收入均持续增长。</a:t>
          </a:r>
          <a:endParaRPr lang="zh-CN" altLang="en-US" sz="1100"/>
        </a:p>
        <a:p>
          <a:r>
            <a:rPr lang="en-US" altLang="zh-CN" sz="1100"/>
            <a:t>2. </a:t>
          </a:r>
          <a:r>
            <a:rPr lang="zh-CN" altLang="en-US" sz="1100"/>
            <a:t>城镇居民收入水平仍高于农村居民，</a:t>
          </a:r>
          <a:r>
            <a:rPr lang="en-US" altLang="zh-CN" sz="1100"/>
            <a:t>2024</a:t>
          </a:r>
          <a:r>
            <a:rPr lang="zh-CN" altLang="en-US" sz="1100"/>
            <a:t>年城乡收入差距为</a:t>
          </a:r>
          <a:r>
            <a:rPr lang="en-US" altLang="zh-CN" sz="1100"/>
            <a:t>35,465</a:t>
          </a:r>
          <a:r>
            <a:rPr lang="zh-CN" altLang="en-US" sz="1100"/>
            <a:t>元。</a:t>
          </a:r>
          <a:endParaRPr lang="zh-CN" altLang="en-US" sz="1100"/>
        </a:p>
        <a:p>
          <a:r>
            <a:rPr lang="en-US" altLang="zh-CN" sz="1100"/>
            <a:t>3. </a:t>
          </a:r>
          <a:r>
            <a:rPr lang="zh-CN" altLang="en-US" sz="1100"/>
            <a:t>城乡收入倍差由</a:t>
          </a:r>
          <a:r>
            <a:rPr lang="en-US" altLang="zh-CN" sz="1100"/>
            <a:t>2022</a:t>
          </a:r>
          <a:r>
            <a:rPr lang="zh-CN" altLang="en-US" sz="1100"/>
            <a:t>年的</a:t>
          </a:r>
          <a:r>
            <a:rPr lang="en-US" altLang="zh-CN" sz="1100"/>
            <a:t>1.90</a:t>
          </a:r>
          <a:r>
            <a:rPr lang="zh-CN" altLang="en-US" sz="1100"/>
            <a:t>下降至</a:t>
          </a:r>
          <a:r>
            <a:rPr lang="en-US" altLang="zh-CN" sz="1100"/>
            <a:t>2024</a:t>
          </a:r>
          <a:r>
            <a:rPr lang="zh-CN" altLang="en-US" sz="1100"/>
            <a:t>年的</a:t>
          </a:r>
          <a:r>
            <a:rPr lang="en-US" altLang="zh-CN" sz="1100"/>
            <a:t>1.83</a:t>
          </a:r>
          <a:r>
            <a:rPr lang="zh-CN" altLang="en-US" sz="1100"/>
            <a:t>，说明城乡收入相对差距有所缩小。</a:t>
          </a:r>
          <a:endParaRPr lang="zh-CN" altLang="en-US" sz="1100"/>
        </a:p>
        <a:p>
          <a:r>
            <a:rPr lang="en-US" altLang="zh-CN" sz="1100"/>
            <a:t>4. </a:t>
          </a:r>
          <a:r>
            <a:rPr lang="zh-CN" altLang="en-US" sz="1100"/>
            <a:t>农村居民收入同比增速连续高于城镇居民，是城乡收入倍差下降的重要原因。</a:t>
          </a:r>
          <a:endParaRPr lang="zh-CN" altLang="en-US" sz="1100"/>
        </a:p>
        <a:p>
          <a:r>
            <a:rPr lang="en-US" altLang="zh-CN" sz="1100"/>
            <a:t>5. </a:t>
          </a:r>
          <a:r>
            <a:rPr lang="zh-CN" altLang="en-US" sz="1100"/>
            <a:t>农村居民平均消费倾向高于城镇居民，说明农村居民消费支出占收入比例更高。</a:t>
          </a:r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20" sqref="N2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selection activeCell="B6" sqref="B6:J6"/>
    </sheetView>
  </sheetViews>
  <sheetFormatPr defaultColWidth="9" defaultRowHeight="13.5"/>
  <cols>
    <col min="1" max="10" width="9" style="92"/>
  </cols>
  <sheetData>
    <row r="1" ht="21" customHeight="1" spans="1:10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</row>
    <row r="2" ht="16.5" customHeight="1" spans="1:10">
      <c r="A2" s="98" t="s">
        <v>1</v>
      </c>
      <c r="B2" s="98" t="s">
        <v>1</v>
      </c>
      <c r="C2" s="98" t="s">
        <v>1</v>
      </c>
      <c r="D2" s="98" t="s">
        <v>1</v>
      </c>
      <c r="E2" s="98" t="s">
        <v>1</v>
      </c>
      <c r="F2" s="98" t="s">
        <v>1</v>
      </c>
      <c r="G2" s="98" t="s">
        <v>1</v>
      </c>
      <c r="H2" s="98" t="s">
        <v>1</v>
      </c>
      <c r="I2" s="98" t="s">
        <v>1</v>
      </c>
      <c r="J2" s="101" t="s">
        <v>2</v>
      </c>
    </row>
    <row r="3" ht="16.5" spans="1:10">
      <c r="A3" s="104" t="s">
        <v>3</v>
      </c>
      <c r="B3" s="95" t="s">
        <v>4</v>
      </c>
      <c r="C3" s="105"/>
      <c r="D3" s="96"/>
      <c r="E3" s="95" t="s">
        <v>5</v>
      </c>
      <c r="F3" s="105"/>
      <c r="G3" s="96"/>
      <c r="H3" s="95" t="s">
        <v>6</v>
      </c>
      <c r="I3" s="105"/>
      <c r="J3" s="96"/>
    </row>
    <row r="4" ht="16.5" spans="1:10">
      <c r="A4" s="106"/>
      <c r="B4" s="98">
        <v>2022</v>
      </c>
      <c r="C4" s="98">
        <v>2023</v>
      </c>
      <c r="D4" s="98">
        <v>2024</v>
      </c>
      <c r="E4" s="98">
        <v>2022</v>
      </c>
      <c r="F4" s="98">
        <v>2023</v>
      </c>
      <c r="G4" s="98">
        <v>2024</v>
      </c>
      <c r="H4" s="98">
        <v>2022</v>
      </c>
      <c r="I4" s="98">
        <v>2023</v>
      </c>
      <c r="J4" s="98">
        <v>2024</v>
      </c>
    </row>
    <row r="5" ht="33" spans="1:10">
      <c r="A5" s="107" t="s">
        <v>7</v>
      </c>
      <c r="B5" s="101">
        <v>60302</v>
      </c>
      <c r="C5" s="101">
        <v>63830</v>
      </c>
      <c r="D5" s="101">
        <v>67013</v>
      </c>
      <c r="E5" s="101">
        <v>71268</v>
      </c>
      <c r="F5" s="101">
        <v>74997</v>
      </c>
      <c r="G5" s="101">
        <v>78251</v>
      </c>
      <c r="H5" s="101">
        <v>37565</v>
      </c>
      <c r="I5" s="101">
        <v>40311</v>
      </c>
      <c r="J5" s="101">
        <v>42786</v>
      </c>
    </row>
    <row r="6" ht="33" spans="1:10">
      <c r="A6" s="107" t="s">
        <v>8</v>
      </c>
      <c r="B6" s="101">
        <v>34177</v>
      </c>
      <c r="C6" s="101">
        <v>35769</v>
      </c>
      <c r="D6" s="101">
        <v>37220</v>
      </c>
      <c r="E6" s="101">
        <v>39718</v>
      </c>
      <c r="F6" s="101">
        <v>41439</v>
      </c>
      <c r="G6" s="101">
        <v>42845</v>
      </c>
      <c r="H6" s="101">
        <v>22687</v>
      </c>
      <c r="I6" s="101">
        <v>23825</v>
      </c>
      <c r="J6" s="101">
        <v>25094</v>
      </c>
    </row>
    <row r="7" ht="16.5" spans="1:10">
      <c r="A7" s="107" t="s">
        <v>9</v>
      </c>
      <c r="B7" s="101">
        <v>32683</v>
      </c>
      <c r="C7" s="101">
        <v>34254</v>
      </c>
      <c r="D7" s="101">
        <v>35421</v>
      </c>
      <c r="E7" s="101">
        <v>37800</v>
      </c>
      <c r="F7" s="101">
        <v>39511</v>
      </c>
      <c r="G7" s="101">
        <v>40487</v>
      </c>
      <c r="H7" s="101">
        <v>22072</v>
      </c>
      <c r="I7" s="101">
        <v>23180</v>
      </c>
      <c r="J7" s="101">
        <v>24500</v>
      </c>
    </row>
    <row r="8" ht="33" spans="1:10">
      <c r="A8" s="107" t="s">
        <v>10</v>
      </c>
      <c r="B8" s="101">
        <v>119</v>
      </c>
      <c r="C8" s="101">
        <v>177</v>
      </c>
      <c r="D8" s="101">
        <v>236</v>
      </c>
      <c r="E8" s="101">
        <v>128</v>
      </c>
      <c r="F8" s="101">
        <v>188</v>
      </c>
      <c r="G8" s="101">
        <v>258</v>
      </c>
      <c r="H8" s="101">
        <v>99</v>
      </c>
      <c r="I8" s="101">
        <v>152</v>
      </c>
      <c r="J8" s="101">
        <v>189</v>
      </c>
    </row>
    <row r="9" ht="16.5" spans="1:10">
      <c r="A9" s="107" t="s">
        <v>11</v>
      </c>
      <c r="B9" s="101">
        <v>1375</v>
      </c>
      <c r="C9" s="101">
        <v>1338</v>
      </c>
      <c r="D9" s="101">
        <v>1564</v>
      </c>
      <c r="E9" s="101">
        <v>1790</v>
      </c>
      <c r="F9" s="101">
        <v>1740</v>
      </c>
      <c r="G9" s="101">
        <v>2101</v>
      </c>
      <c r="H9" s="101">
        <v>516</v>
      </c>
      <c r="I9" s="101">
        <v>492</v>
      </c>
      <c r="J9" s="101">
        <v>406</v>
      </c>
    </row>
    <row r="10" ht="33" spans="1:10">
      <c r="A10" s="107" t="s">
        <v>12</v>
      </c>
      <c r="B10" s="101">
        <v>9880</v>
      </c>
      <c r="C10" s="101">
        <v>10664</v>
      </c>
      <c r="D10" s="101">
        <v>11423</v>
      </c>
      <c r="E10" s="101">
        <v>10233</v>
      </c>
      <c r="F10" s="101">
        <v>10833</v>
      </c>
      <c r="G10" s="101">
        <v>11566</v>
      </c>
      <c r="H10" s="101">
        <v>9149</v>
      </c>
      <c r="I10" s="101">
        <v>10307</v>
      </c>
      <c r="J10" s="101">
        <v>11115</v>
      </c>
    </row>
    <row r="11" ht="33" spans="1:10">
      <c r="A11" s="107" t="s">
        <v>13</v>
      </c>
      <c r="B11" s="101">
        <v>1276</v>
      </c>
      <c r="C11" s="101">
        <v>1159</v>
      </c>
      <c r="D11" s="101">
        <v>1018</v>
      </c>
      <c r="E11" s="101">
        <v>482</v>
      </c>
      <c r="F11" s="101">
        <v>231</v>
      </c>
      <c r="G11" s="101">
        <v>-8</v>
      </c>
      <c r="H11" s="101">
        <v>2922</v>
      </c>
      <c r="I11" s="101">
        <v>3115</v>
      </c>
      <c r="J11" s="101">
        <v>3231</v>
      </c>
    </row>
    <row r="12" ht="33" spans="1:10">
      <c r="A12" s="107" t="s">
        <v>14</v>
      </c>
      <c r="B12" s="101">
        <v>2185</v>
      </c>
      <c r="C12" s="101">
        <v>2363</v>
      </c>
      <c r="D12" s="101">
        <v>2532</v>
      </c>
      <c r="E12" s="101">
        <v>2342</v>
      </c>
      <c r="F12" s="101">
        <v>2488</v>
      </c>
      <c r="G12" s="101">
        <v>2647</v>
      </c>
      <c r="H12" s="101">
        <v>1860</v>
      </c>
      <c r="I12" s="101">
        <v>2098</v>
      </c>
      <c r="J12" s="101">
        <v>2285</v>
      </c>
    </row>
    <row r="13" ht="33" spans="1:10">
      <c r="A13" s="107" t="s">
        <v>15</v>
      </c>
      <c r="B13" s="101">
        <v>6419</v>
      </c>
      <c r="C13" s="101">
        <v>7142</v>
      </c>
      <c r="D13" s="101">
        <v>7873</v>
      </c>
      <c r="E13" s="101">
        <v>7409</v>
      </c>
      <c r="F13" s="101">
        <v>8114</v>
      </c>
      <c r="G13" s="101">
        <v>8928</v>
      </c>
      <c r="H13" s="101">
        <v>4367</v>
      </c>
      <c r="I13" s="101">
        <v>5095</v>
      </c>
      <c r="J13" s="101">
        <v>5599</v>
      </c>
    </row>
    <row r="14" ht="33" spans="1:10">
      <c r="A14" s="107" t="s">
        <v>16</v>
      </c>
      <c r="B14" s="101">
        <v>7397</v>
      </c>
      <c r="C14" s="101">
        <v>7783</v>
      </c>
      <c r="D14" s="101">
        <v>8103</v>
      </c>
      <c r="E14" s="101">
        <v>10397</v>
      </c>
      <c r="F14" s="101">
        <v>10880</v>
      </c>
      <c r="G14" s="101">
        <v>11252</v>
      </c>
      <c r="H14" s="101">
        <v>1177</v>
      </c>
      <c r="I14" s="101">
        <v>1259</v>
      </c>
      <c r="J14" s="101">
        <v>1316</v>
      </c>
    </row>
    <row r="15" ht="33" spans="1:10">
      <c r="A15" s="107" t="s">
        <v>17</v>
      </c>
      <c r="B15" s="101">
        <v>136</v>
      </c>
      <c r="C15" s="101">
        <v>-2</v>
      </c>
      <c r="D15" s="101">
        <v>92</v>
      </c>
      <c r="E15" s="101">
        <v>152</v>
      </c>
      <c r="F15" s="101">
        <v>-45</v>
      </c>
      <c r="G15" s="101">
        <v>115</v>
      </c>
      <c r="H15" s="101">
        <v>101</v>
      </c>
      <c r="I15" s="101">
        <v>88</v>
      </c>
      <c r="J15" s="101">
        <v>42</v>
      </c>
    </row>
    <row r="16" ht="16.5" spans="1:10">
      <c r="A16" s="107" t="s">
        <v>18</v>
      </c>
      <c r="B16" s="101">
        <v>1027</v>
      </c>
      <c r="C16" s="101">
        <v>1090</v>
      </c>
      <c r="D16" s="101">
        <v>1160</v>
      </c>
      <c r="E16" s="101">
        <v>1377</v>
      </c>
      <c r="F16" s="101">
        <v>1399</v>
      </c>
      <c r="G16" s="101">
        <v>1490</v>
      </c>
      <c r="H16" s="101">
        <v>302</v>
      </c>
      <c r="I16" s="101">
        <v>440</v>
      </c>
      <c r="J16" s="101">
        <v>449</v>
      </c>
    </row>
    <row r="17" ht="33" spans="1:10">
      <c r="A17" s="107" t="s">
        <v>19</v>
      </c>
      <c r="B17" s="101">
        <v>38</v>
      </c>
      <c r="C17" s="101">
        <v>25</v>
      </c>
      <c r="D17" s="101">
        <v>19</v>
      </c>
      <c r="E17" s="101">
        <v>56</v>
      </c>
      <c r="F17" s="101">
        <v>37</v>
      </c>
      <c r="G17" s="101">
        <v>26</v>
      </c>
      <c r="H17" s="101">
        <v>0</v>
      </c>
      <c r="I17" s="101">
        <v>1</v>
      </c>
      <c r="J17" s="101">
        <v>3</v>
      </c>
    </row>
    <row r="18" ht="66" spans="1:10">
      <c r="A18" s="107" t="s">
        <v>20</v>
      </c>
      <c r="B18" s="101">
        <v>112</v>
      </c>
      <c r="C18" s="101">
        <v>96</v>
      </c>
      <c r="D18" s="101">
        <v>103</v>
      </c>
      <c r="E18" s="101">
        <v>48</v>
      </c>
      <c r="F18" s="101">
        <v>27</v>
      </c>
      <c r="G18" s="101">
        <v>52</v>
      </c>
      <c r="H18" s="101">
        <v>244</v>
      </c>
      <c r="I18" s="101">
        <v>241</v>
      </c>
      <c r="J18" s="101">
        <v>213</v>
      </c>
    </row>
    <row r="19" ht="33" spans="1:10">
      <c r="A19" s="107" t="s">
        <v>21</v>
      </c>
      <c r="B19" s="101">
        <v>2513</v>
      </c>
      <c r="C19" s="101">
        <v>2532</v>
      </c>
      <c r="D19" s="101">
        <v>2647</v>
      </c>
      <c r="E19" s="101">
        <v>3498</v>
      </c>
      <c r="F19" s="101">
        <v>3478</v>
      </c>
      <c r="G19" s="101">
        <v>3602</v>
      </c>
      <c r="H19" s="101">
        <v>470</v>
      </c>
      <c r="I19" s="101">
        <v>538</v>
      </c>
      <c r="J19" s="101">
        <v>588</v>
      </c>
    </row>
    <row r="20" ht="49.5" spans="1:10">
      <c r="A20" s="107" t="s">
        <v>22</v>
      </c>
      <c r="B20" s="101">
        <v>48</v>
      </c>
      <c r="C20" s="101">
        <v>74</v>
      </c>
      <c r="D20" s="101">
        <v>84</v>
      </c>
      <c r="E20" s="101">
        <v>42</v>
      </c>
      <c r="F20" s="101">
        <v>94</v>
      </c>
      <c r="G20" s="101">
        <v>106</v>
      </c>
      <c r="H20" s="101">
        <v>61</v>
      </c>
      <c r="I20" s="101">
        <v>32</v>
      </c>
      <c r="J20" s="101">
        <v>38</v>
      </c>
    </row>
    <row r="21" ht="49.5" spans="1:10">
      <c r="A21" s="107" t="s">
        <v>23</v>
      </c>
      <c r="B21" s="101">
        <v>3591</v>
      </c>
      <c r="C21" s="101">
        <v>4037</v>
      </c>
      <c r="D21" s="101">
        <v>4038</v>
      </c>
      <c r="E21" s="101">
        <v>5323</v>
      </c>
      <c r="F21" s="101">
        <v>5954</v>
      </c>
      <c r="G21" s="101">
        <v>5912</v>
      </c>
      <c r="H21" s="101">
        <v>0</v>
      </c>
      <c r="I21" s="101">
        <v>0</v>
      </c>
      <c r="J21" s="101">
        <v>0</v>
      </c>
    </row>
    <row r="22" ht="33" spans="1:10">
      <c r="A22" s="107" t="s">
        <v>24</v>
      </c>
      <c r="B22" s="101">
        <v>-67</v>
      </c>
      <c r="C22" s="101">
        <v>-69</v>
      </c>
      <c r="D22" s="101">
        <v>-40</v>
      </c>
      <c r="E22" s="101">
        <v>-98</v>
      </c>
      <c r="F22" s="101">
        <v>-64</v>
      </c>
      <c r="G22" s="101">
        <v>-51</v>
      </c>
      <c r="H22" s="101">
        <v>-2</v>
      </c>
      <c r="I22" s="101">
        <v>-80</v>
      </c>
      <c r="J22" s="101">
        <v>-17</v>
      </c>
    </row>
    <row r="23" ht="33" spans="1:10">
      <c r="A23" s="107" t="s">
        <v>25</v>
      </c>
      <c r="B23" s="101">
        <v>8848</v>
      </c>
      <c r="C23" s="101">
        <v>9615</v>
      </c>
      <c r="D23" s="101">
        <v>10266</v>
      </c>
      <c r="E23" s="101">
        <v>10919</v>
      </c>
      <c r="F23" s="101">
        <v>11844</v>
      </c>
      <c r="G23" s="101">
        <v>12588</v>
      </c>
      <c r="H23" s="101">
        <v>4552</v>
      </c>
      <c r="I23" s="101">
        <v>4920</v>
      </c>
      <c r="J23" s="101">
        <v>5262</v>
      </c>
    </row>
    <row r="24" ht="33" spans="1:10">
      <c r="A24" s="107" t="s">
        <v>26</v>
      </c>
      <c r="B24" s="101">
        <v>12437</v>
      </c>
      <c r="C24" s="101">
        <v>13155</v>
      </c>
      <c r="D24" s="101">
        <v>14931</v>
      </c>
      <c r="E24" s="101">
        <v>15035</v>
      </c>
      <c r="F24" s="101">
        <v>15877</v>
      </c>
      <c r="G24" s="101">
        <v>17856</v>
      </c>
      <c r="H24" s="101">
        <v>7048</v>
      </c>
      <c r="I24" s="101">
        <v>7420</v>
      </c>
      <c r="J24" s="101">
        <v>8624</v>
      </c>
    </row>
    <row r="25" ht="49.5" spans="1:10">
      <c r="A25" s="107" t="s">
        <v>27</v>
      </c>
      <c r="B25" s="101">
        <v>9145</v>
      </c>
      <c r="C25" s="101">
        <v>9719</v>
      </c>
      <c r="D25" s="101">
        <v>10728</v>
      </c>
      <c r="E25" s="101">
        <v>11689</v>
      </c>
      <c r="F25" s="101">
        <v>12382</v>
      </c>
      <c r="G25" s="101">
        <v>13577</v>
      </c>
      <c r="H25" s="101">
        <v>3870</v>
      </c>
      <c r="I25" s="101">
        <v>4108</v>
      </c>
      <c r="J25" s="101">
        <v>4586</v>
      </c>
    </row>
    <row r="26" ht="33" spans="1:10">
      <c r="A26" s="107" t="s">
        <v>28</v>
      </c>
      <c r="B26" s="101">
        <v>153</v>
      </c>
      <c r="C26" s="101">
        <v>210</v>
      </c>
      <c r="D26" s="101">
        <v>206</v>
      </c>
      <c r="E26" s="101">
        <v>114</v>
      </c>
      <c r="F26" s="101">
        <v>144</v>
      </c>
      <c r="G26" s="101">
        <v>130</v>
      </c>
      <c r="H26" s="101">
        <v>234</v>
      </c>
      <c r="I26" s="101">
        <v>349</v>
      </c>
      <c r="J26" s="101">
        <v>371</v>
      </c>
    </row>
    <row r="27" ht="33" spans="1:10">
      <c r="A27" s="107" t="s">
        <v>29</v>
      </c>
      <c r="B27" s="101">
        <v>91</v>
      </c>
      <c r="C27" s="101">
        <v>96</v>
      </c>
      <c r="D27" s="101">
        <v>42</v>
      </c>
      <c r="E27" s="101">
        <v>35</v>
      </c>
      <c r="F27" s="101">
        <v>48</v>
      </c>
      <c r="G27" s="101">
        <v>13</v>
      </c>
      <c r="H27" s="101">
        <v>205</v>
      </c>
      <c r="I27" s="101">
        <v>196</v>
      </c>
      <c r="J27" s="101">
        <v>105</v>
      </c>
    </row>
    <row r="28" ht="33" spans="1:10">
      <c r="A28" s="107" t="s">
        <v>30</v>
      </c>
      <c r="B28" s="101">
        <v>190</v>
      </c>
      <c r="C28" s="101">
        <v>208</v>
      </c>
      <c r="D28" s="101">
        <v>224</v>
      </c>
      <c r="E28" s="101">
        <v>198</v>
      </c>
      <c r="F28" s="101">
        <v>248</v>
      </c>
      <c r="G28" s="101">
        <v>275</v>
      </c>
      <c r="H28" s="101">
        <v>174</v>
      </c>
      <c r="I28" s="101">
        <v>123</v>
      </c>
      <c r="J28" s="101">
        <v>115</v>
      </c>
    </row>
    <row r="29" ht="33" spans="1:10">
      <c r="A29" s="107" t="s">
        <v>31</v>
      </c>
      <c r="B29" s="101">
        <v>696</v>
      </c>
      <c r="C29" s="101">
        <v>723</v>
      </c>
      <c r="D29" s="101">
        <v>831</v>
      </c>
      <c r="E29" s="101">
        <v>819</v>
      </c>
      <c r="F29" s="101">
        <v>843</v>
      </c>
      <c r="G29" s="101">
        <v>949</v>
      </c>
      <c r="H29" s="101">
        <v>441</v>
      </c>
      <c r="I29" s="101">
        <v>470</v>
      </c>
      <c r="J29" s="101">
        <v>577</v>
      </c>
    </row>
    <row r="30" ht="66" spans="1:10">
      <c r="A30" s="107" t="s">
        <v>32</v>
      </c>
      <c r="B30" s="101">
        <v>832</v>
      </c>
      <c r="C30" s="101">
        <v>852</v>
      </c>
      <c r="D30" s="101">
        <v>973</v>
      </c>
      <c r="E30" s="101">
        <v>877</v>
      </c>
      <c r="F30" s="101">
        <v>907</v>
      </c>
      <c r="G30" s="101">
        <v>1043</v>
      </c>
      <c r="H30" s="101">
        <v>740</v>
      </c>
      <c r="I30" s="101">
        <v>735</v>
      </c>
      <c r="J30" s="101">
        <v>822</v>
      </c>
    </row>
    <row r="31" ht="33" spans="1:10">
      <c r="A31" s="107" t="s">
        <v>33</v>
      </c>
      <c r="B31" s="101">
        <v>1196</v>
      </c>
      <c r="C31" s="101">
        <v>1231</v>
      </c>
      <c r="D31" s="101">
        <v>1730</v>
      </c>
      <c r="E31" s="101">
        <v>1149</v>
      </c>
      <c r="F31" s="101">
        <v>1182</v>
      </c>
      <c r="G31" s="101">
        <v>1642</v>
      </c>
      <c r="H31" s="101">
        <v>1296</v>
      </c>
      <c r="I31" s="101">
        <v>1335</v>
      </c>
      <c r="J31" s="101">
        <v>1918</v>
      </c>
    </row>
    <row r="32" ht="49.5" spans="1:10">
      <c r="A32" s="107" t="s">
        <v>34</v>
      </c>
      <c r="B32" s="101">
        <v>133</v>
      </c>
      <c r="C32" s="101">
        <v>117</v>
      </c>
      <c r="D32" s="101">
        <v>196</v>
      </c>
      <c r="E32" s="101">
        <v>154</v>
      </c>
      <c r="F32" s="101">
        <v>123</v>
      </c>
      <c r="G32" s="101">
        <v>227</v>
      </c>
      <c r="H32" s="101">
        <v>89</v>
      </c>
      <c r="I32" s="101">
        <v>105</v>
      </c>
      <c r="J32" s="101">
        <v>130</v>
      </c>
    </row>
    <row r="33" ht="33" spans="1:10">
      <c r="A33" s="107" t="s">
        <v>35</v>
      </c>
      <c r="B33" s="101">
        <v>3589</v>
      </c>
      <c r="C33" s="101">
        <v>3539</v>
      </c>
      <c r="D33" s="101">
        <v>4664</v>
      </c>
      <c r="E33" s="101">
        <v>4116</v>
      </c>
      <c r="F33" s="101">
        <v>4033</v>
      </c>
      <c r="G33" s="101">
        <v>5268</v>
      </c>
      <c r="H33" s="101">
        <v>2496</v>
      </c>
      <c r="I33" s="101">
        <v>2500</v>
      </c>
      <c r="J33" s="101">
        <v>3362</v>
      </c>
    </row>
    <row r="34" ht="33" spans="1:10">
      <c r="A34" s="107" t="s">
        <v>36</v>
      </c>
      <c r="B34" s="101">
        <v>247</v>
      </c>
      <c r="C34" s="101">
        <v>242</v>
      </c>
      <c r="D34" s="101">
        <v>309</v>
      </c>
      <c r="E34" s="101">
        <v>341</v>
      </c>
      <c r="F34" s="101">
        <v>329</v>
      </c>
      <c r="G34" s="101">
        <v>423</v>
      </c>
      <c r="H34" s="101">
        <v>51</v>
      </c>
      <c r="I34" s="101">
        <v>58</v>
      </c>
      <c r="J34" s="101">
        <v>62</v>
      </c>
    </row>
    <row r="35" ht="33" spans="1:10">
      <c r="A35" s="107" t="s">
        <v>37</v>
      </c>
      <c r="B35" s="101">
        <v>3068</v>
      </c>
      <c r="C35" s="101">
        <v>2831</v>
      </c>
      <c r="D35" s="101">
        <v>3597</v>
      </c>
      <c r="E35" s="101">
        <v>3432</v>
      </c>
      <c r="F35" s="101">
        <v>3147</v>
      </c>
      <c r="G35" s="101">
        <v>3953</v>
      </c>
      <c r="H35" s="101">
        <v>2314</v>
      </c>
      <c r="I35" s="101">
        <v>2165</v>
      </c>
      <c r="J35" s="101">
        <v>2829</v>
      </c>
    </row>
    <row r="36" ht="66" spans="1:10">
      <c r="A36" s="107" t="s">
        <v>38</v>
      </c>
      <c r="B36" s="101">
        <v>8</v>
      </c>
      <c r="C36" s="101">
        <v>54</v>
      </c>
      <c r="D36" s="101">
        <v>105</v>
      </c>
      <c r="E36" s="101">
        <v>11</v>
      </c>
      <c r="F36" s="101">
        <v>66</v>
      </c>
      <c r="G36" s="101">
        <v>117</v>
      </c>
      <c r="H36" s="101">
        <v>4</v>
      </c>
      <c r="I36" s="101">
        <v>28</v>
      </c>
      <c r="J36" s="101">
        <v>79</v>
      </c>
    </row>
    <row r="37" ht="33" spans="1:10">
      <c r="A37" s="107" t="s">
        <v>39</v>
      </c>
      <c r="B37" s="101">
        <v>199</v>
      </c>
      <c r="C37" s="101">
        <v>343</v>
      </c>
      <c r="D37" s="101">
        <v>580</v>
      </c>
      <c r="E37" s="101">
        <v>248</v>
      </c>
      <c r="F37" s="101">
        <v>405</v>
      </c>
      <c r="G37" s="101">
        <v>684</v>
      </c>
      <c r="H37" s="101">
        <v>97</v>
      </c>
      <c r="I37" s="101">
        <v>214</v>
      </c>
      <c r="J37" s="101">
        <v>356</v>
      </c>
    </row>
    <row r="38" ht="49.5" spans="1:10">
      <c r="A38" s="107" t="s">
        <v>40</v>
      </c>
      <c r="B38" s="101">
        <v>67</v>
      </c>
      <c r="C38" s="101">
        <v>70</v>
      </c>
      <c r="D38" s="101">
        <v>73</v>
      </c>
      <c r="E38" s="101">
        <v>85</v>
      </c>
      <c r="F38" s="101">
        <v>86</v>
      </c>
      <c r="G38" s="101">
        <v>90</v>
      </c>
      <c r="H38" s="101">
        <v>29</v>
      </c>
      <c r="I38" s="101">
        <v>36</v>
      </c>
      <c r="J38" s="101">
        <v>35</v>
      </c>
    </row>
  </sheetData>
  <mergeCells count="5">
    <mergeCell ref="A1:J1"/>
    <mergeCell ref="B3:D3"/>
    <mergeCell ref="E3:G3"/>
    <mergeCell ref="H3:J3"/>
    <mergeCell ref="A3:A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2" sqref="A$1:J$1048576"/>
    </sheetView>
  </sheetViews>
  <sheetFormatPr defaultColWidth="9" defaultRowHeight="13.5"/>
  <cols>
    <col min="1" max="10" width="9" style="92"/>
  </cols>
  <sheetData>
    <row r="1" ht="21" customHeight="1" spans="1:10">
      <c r="A1" s="93" t="s">
        <v>41</v>
      </c>
      <c r="B1" s="93"/>
      <c r="C1" s="93"/>
      <c r="D1" s="93"/>
      <c r="E1" s="93"/>
      <c r="F1" s="93"/>
      <c r="G1" s="93"/>
      <c r="H1" s="93"/>
      <c r="I1" s="93"/>
      <c r="J1" s="93"/>
    </row>
    <row r="2" ht="16.5" spans="1:10">
      <c r="A2" s="104" t="s">
        <v>3</v>
      </c>
      <c r="B2" s="95" t="s">
        <v>4</v>
      </c>
      <c r="C2" s="105"/>
      <c r="D2" s="96"/>
      <c r="E2" s="95" t="s">
        <v>5</v>
      </c>
      <c r="F2" s="105"/>
      <c r="G2" s="96"/>
      <c r="H2" s="95" t="s">
        <v>6</v>
      </c>
      <c r="I2" s="105"/>
      <c r="J2" s="96"/>
    </row>
    <row r="3" ht="16.5" customHeight="1" spans="1:10">
      <c r="A3" s="106"/>
      <c r="B3" s="98">
        <v>2022</v>
      </c>
      <c r="C3" s="98">
        <v>2023</v>
      </c>
      <c r="D3" s="98">
        <v>2024</v>
      </c>
      <c r="E3" s="98">
        <v>2022</v>
      </c>
      <c r="F3" s="98">
        <v>2023</v>
      </c>
      <c r="G3" s="98">
        <v>2024</v>
      </c>
      <c r="H3" s="98">
        <v>2022</v>
      </c>
      <c r="I3" s="98">
        <v>2023</v>
      </c>
      <c r="J3" s="98">
        <v>2024</v>
      </c>
    </row>
    <row r="4" ht="33" spans="1:10">
      <c r="A4" s="101" t="s">
        <v>42</v>
      </c>
      <c r="B4" s="101">
        <v>60302</v>
      </c>
      <c r="C4" s="101">
        <v>63830</v>
      </c>
      <c r="D4" s="101">
        <v>67013</v>
      </c>
      <c r="E4" s="101">
        <v>71268</v>
      </c>
      <c r="F4" s="101">
        <v>74997</v>
      </c>
      <c r="G4" s="101">
        <v>78251</v>
      </c>
      <c r="H4" s="101">
        <v>37565</v>
      </c>
      <c r="I4" s="101">
        <v>40311</v>
      </c>
      <c r="J4" s="101">
        <v>42786</v>
      </c>
    </row>
    <row r="5" ht="33" spans="1:10">
      <c r="A5" s="107" t="s">
        <v>43</v>
      </c>
      <c r="B5" s="101">
        <v>34177</v>
      </c>
      <c r="C5" s="101">
        <v>35769</v>
      </c>
      <c r="D5" s="101">
        <v>37220</v>
      </c>
      <c r="E5" s="101">
        <v>39718</v>
      </c>
      <c r="F5" s="101">
        <v>41439</v>
      </c>
      <c r="G5" s="101">
        <v>42845</v>
      </c>
      <c r="H5" s="101">
        <v>22687</v>
      </c>
      <c r="I5" s="101">
        <v>23825</v>
      </c>
      <c r="J5" s="101">
        <v>25094</v>
      </c>
    </row>
    <row r="6" ht="33" spans="1:10">
      <c r="A6" s="107" t="s">
        <v>44</v>
      </c>
      <c r="B6" s="101">
        <v>9880</v>
      </c>
      <c r="C6" s="101">
        <v>10664</v>
      </c>
      <c r="D6" s="101">
        <v>11423</v>
      </c>
      <c r="E6" s="101">
        <v>10233</v>
      </c>
      <c r="F6" s="101">
        <v>10833</v>
      </c>
      <c r="G6" s="101">
        <v>11566</v>
      </c>
      <c r="H6" s="101">
        <v>9149</v>
      </c>
      <c r="I6" s="101">
        <v>10307</v>
      </c>
      <c r="J6" s="101">
        <v>11115</v>
      </c>
    </row>
    <row r="7" ht="33" spans="1:10">
      <c r="A7" s="107" t="s">
        <v>45</v>
      </c>
      <c r="B7" s="101">
        <v>7397</v>
      </c>
      <c r="C7" s="101">
        <v>7783</v>
      </c>
      <c r="D7" s="101">
        <v>8103</v>
      </c>
      <c r="E7" s="101">
        <v>10397</v>
      </c>
      <c r="F7" s="101">
        <v>10880</v>
      </c>
      <c r="G7" s="101">
        <v>11252</v>
      </c>
      <c r="H7" s="101">
        <v>1177</v>
      </c>
      <c r="I7" s="101">
        <v>1259</v>
      </c>
      <c r="J7" s="101">
        <v>1316</v>
      </c>
    </row>
    <row r="8" ht="33" spans="1:10">
      <c r="A8" s="107" t="s">
        <v>46</v>
      </c>
      <c r="B8" s="101">
        <v>8848</v>
      </c>
      <c r="C8" s="101">
        <v>9615</v>
      </c>
      <c r="D8" s="101">
        <v>10266</v>
      </c>
      <c r="E8" s="101">
        <v>10919</v>
      </c>
      <c r="F8" s="101">
        <v>11844</v>
      </c>
      <c r="G8" s="101">
        <v>12588</v>
      </c>
      <c r="H8" s="101">
        <v>4552</v>
      </c>
      <c r="I8" s="101">
        <v>4920</v>
      </c>
      <c r="J8" s="101">
        <v>5262</v>
      </c>
    </row>
    <row r="9" ht="49.5" spans="1:10">
      <c r="A9" s="107" t="s">
        <v>47</v>
      </c>
      <c r="B9" s="101">
        <v>38971</v>
      </c>
      <c r="C9" s="101">
        <v>42194</v>
      </c>
      <c r="D9" s="101">
        <v>45107</v>
      </c>
      <c r="E9" s="101">
        <v>44511</v>
      </c>
      <c r="F9" s="101">
        <v>47762</v>
      </c>
      <c r="G9" s="101">
        <v>50704</v>
      </c>
      <c r="H9" s="101">
        <v>27483</v>
      </c>
      <c r="I9" s="101">
        <v>30468</v>
      </c>
      <c r="J9" s="101">
        <v>33043</v>
      </c>
    </row>
    <row r="10" ht="33" spans="1:10">
      <c r="A10" s="107" t="s">
        <v>48</v>
      </c>
      <c r="B10" s="101">
        <v>10931</v>
      </c>
      <c r="C10" s="101">
        <v>11757</v>
      </c>
      <c r="D10" s="101">
        <v>12578</v>
      </c>
      <c r="E10" s="101">
        <v>12106</v>
      </c>
      <c r="F10" s="101">
        <v>12909</v>
      </c>
      <c r="G10" s="101">
        <v>13692</v>
      </c>
      <c r="H10" s="101">
        <v>8497</v>
      </c>
      <c r="I10" s="101">
        <v>9331</v>
      </c>
      <c r="J10" s="101">
        <v>10177</v>
      </c>
    </row>
    <row r="11" ht="16.5" spans="1:10">
      <c r="A11" s="107" t="s">
        <v>49</v>
      </c>
      <c r="B11" s="101">
        <v>2098</v>
      </c>
      <c r="C11" s="101">
        <v>2254</v>
      </c>
      <c r="D11" s="101">
        <v>2332</v>
      </c>
      <c r="E11" s="101">
        <v>2466</v>
      </c>
      <c r="F11" s="101">
        <v>2623</v>
      </c>
      <c r="G11" s="101">
        <v>2697</v>
      </c>
      <c r="H11" s="101">
        <v>1336</v>
      </c>
      <c r="I11" s="101">
        <v>1476</v>
      </c>
      <c r="J11" s="101">
        <v>1545</v>
      </c>
    </row>
    <row r="12" ht="16.5" spans="1:10">
      <c r="A12" s="107" t="s">
        <v>50</v>
      </c>
      <c r="B12" s="101">
        <v>10558</v>
      </c>
      <c r="C12" s="101">
        <v>10458</v>
      </c>
      <c r="D12" s="101">
        <v>10832</v>
      </c>
      <c r="E12" s="101">
        <v>11890</v>
      </c>
      <c r="F12" s="101">
        <v>11550</v>
      </c>
      <c r="G12" s="101">
        <v>11901</v>
      </c>
      <c r="H12" s="101">
        <v>7795</v>
      </c>
      <c r="I12" s="101">
        <v>8158</v>
      </c>
      <c r="J12" s="101">
        <v>8527</v>
      </c>
    </row>
    <row r="13" ht="33" spans="1:10">
      <c r="A13" s="107" t="s">
        <v>51</v>
      </c>
      <c r="B13" s="101">
        <v>2313</v>
      </c>
      <c r="C13" s="101">
        <v>2472</v>
      </c>
      <c r="D13" s="101">
        <v>2719</v>
      </c>
      <c r="E13" s="101">
        <v>2685</v>
      </c>
      <c r="F13" s="101">
        <v>2848</v>
      </c>
      <c r="G13" s="101">
        <v>3123</v>
      </c>
      <c r="H13" s="101">
        <v>1540</v>
      </c>
      <c r="I13" s="101">
        <v>1682</v>
      </c>
      <c r="J13" s="101">
        <v>1848</v>
      </c>
    </row>
    <row r="14" ht="33" spans="1:10">
      <c r="A14" s="107" t="s">
        <v>52</v>
      </c>
      <c r="B14" s="101">
        <v>5823</v>
      </c>
      <c r="C14" s="101">
        <v>6484</v>
      </c>
      <c r="D14" s="101">
        <v>7140</v>
      </c>
      <c r="E14" s="101">
        <v>6791</v>
      </c>
      <c r="F14" s="101">
        <v>7558</v>
      </c>
      <c r="G14" s="101">
        <v>8229</v>
      </c>
      <c r="H14" s="101">
        <v>3816</v>
      </c>
      <c r="I14" s="101">
        <v>4223</v>
      </c>
      <c r="J14" s="101">
        <v>4792</v>
      </c>
    </row>
    <row r="15" ht="33" spans="1:10">
      <c r="A15" s="107" t="s">
        <v>53</v>
      </c>
      <c r="B15" s="101">
        <v>3549</v>
      </c>
      <c r="C15" s="101">
        <v>4458</v>
      </c>
      <c r="D15" s="101">
        <v>4843</v>
      </c>
      <c r="E15" s="101">
        <v>4238</v>
      </c>
      <c r="F15" s="101">
        <v>5298</v>
      </c>
      <c r="G15" s="101">
        <v>5720</v>
      </c>
      <c r="H15" s="101">
        <v>2121</v>
      </c>
      <c r="I15" s="101">
        <v>2689</v>
      </c>
      <c r="J15" s="101">
        <v>2953</v>
      </c>
    </row>
    <row r="16" ht="33" spans="1:10">
      <c r="A16" s="107" t="s">
        <v>54</v>
      </c>
      <c r="B16" s="101">
        <v>2534</v>
      </c>
      <c r="C16" s="101">
        <v>2939</v>
      </c>
      <c r="D16" s="101">
        <v>3159</v>
      </c>
      <c r="E16" s="101">
        <v>2865</v>
      </c>
      <c r="F16" s="101">
        <v>3248</v>
      </c>
      <c r="G16" s="101">
        <v>3463</v>
      </c>
      <c r="H16" s="101">
        <v>1847</v>
      </c>
      <c r="I16" s="101">
        <v>2289</v>
      </c>
      <c r="J16" s="101">
        <v>2502</v>
      </c>
    </row>
    <row r="17" ht="33" spans="1:10">
      <c r="A17" s="107" t="s">
        <v>55</v>
      </c>
      <c r="B17" s="101">
        <v>1165</v>
      </c>
      <c r="C17" s="101">
        <v>1371</v>
      </c>
      <c r="D17" s="101">
        <v>1506</v>
      </c>
      <c r="E17" s="101">
        <v>1471</v>
      </c>
      <c r="F17" s="101">
        <v>1728</v>
      </c>
      <c r="G17" s="101">
        <v>1879</v>
      </c>
      <c r="H17" s="101">
        <v>531</v>
      </c>
      <c r="I17" s="101">
        <v>620</v>
      </c>
      <c r="J17" s="101">
        <v>700</v>
      </c>
    </row>
  </sheetData>
  <mergeCells count="5">
    <mergeCell ref="A1:J1"/>
    <mergeCell ref="B2:D2"/>
    <mergeCell ref="E2:G2"/>
    <mergeCell ref="H2:J2"/>
    <mergeCell ref="A2:A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workbookViewId="0">
      <selection activeCell="A2" sqref="A$1:G$1048576"/>
    </sheetView>
  </sheetViews>
  <sheetFormatPr defaultColWidth="9" defaultRowHeight="13.5" outlineLevelCol="6"/>
  <cols>
    <col min="1" max="10" width="9" style="92"/>
  </cols>
  <sheetData>
    <row r="1" ht="21" spans="1:7">
      <c r="A1" s="93" t="s">
        <v>56</v>
      </c>
      <c r="B1" s="93"/>
      <c r="C1" s="93"/>
      <c r="D1" s="93"/>
      <c r="E1" s="93"/>
      <c r="F1" s="93"/>
      <c r="G1" s="93"/>
    </row>
    <row r="2" ht="16.5" spans="1:7">
      <c r="A2" s="94" t="s">
        <v>57</v>
      </c>
      <c r="B2" s="95" t="s">
        <v>4</v>
      </c>
      <c r="C2" s="96"/>
      <c r="D2" s="95" t="s">
        <v>58</v>
      </c>
      <c r="E2" s="96"/>
      <c r="F2" s="95" t="s">
        <v>59</v>
      </c>
      <c r="G2" s="96"/>
    </row>
    <row r="3" ht="49.5" spans="1:7">
      <c r="A3" s="97"/>
      <c r="B3" s="98" t="s">
        <v>60</v>
      </c>
      <c r="C3" s="99" t="s">
        <v>61</v>
      </c>
      <c r="D3" s="98" t="s">
        <v>60</v>
      </c>
      <c r="E3" s="99" t="s">
        <v>61</v>
      </c>
      <c r="F3" s="98" t="s">
        <v>60</v>
      </c>
      <c r="G3" s="99" t="s">
        <v>61</v>
      </c>
    </row>
    <row r="4" ht="16.5" spans="1:7">
      <c r="A4" s="100">
        <v>1978</v>
      </c>
      <c r="B4" s="101" t="s">
        <v>1</v>
      </c>
      <c r="C4" s="102" t="s">
        <v>1</v>
      </c>
      <c r="D4" s="101">
        <v>301</v>
      </c>
      <c r="E4" s="102" t="s">
        <v>1</v>
      </c>
      <c r="F4" s="101">
        <v>157</v>
      </c>
      <c r="G4" s="102" t="s">
        <v>1</v>
      </c>
    </row>
    <row r="5" ht="16.5" spans="1:7">
      <c r="A5" s="100">
        <v>1980</v>
      </c>
      <c r="B5" s="101" t="s">
        <v>1</v>
      </c>
      <c r="C5" s="102" t="s">
        <v>1</v>
      </c>
      <c r="D5" s="101">
        <v>428</v>
      </c>
      <c r="E5" s="102" t="s">
        <v>1</v>
      </c>
      <c r="F5" s="101">
        <v>192</v>
      </c>
      <c r="G5" s="102">
        <v>9.7</v>
      </c>
    </row>
    <row r="6" ht="16.5" spans="1:7">
      <c r="A6" s="100">
        <v>1984</v>
      </c>
      <c r="B6" s="101" t="s">
        <v>1</v>
      </c>
      <c r="C6" s="102" t="s">
        <v>1</v>
      </c>
      <c r="D6" s="101">
        <v>562</v>
      </c>
      <c r="E6" s="102">
        <v>16.1</v>
      </c>
      <c r="F6" s="101">
        <v>369</v>
      </c>
      <c r="G6" s="102">
        <v>13.2</v>
      </c>
    </row>
    <row r="7" ht="16.5" spans="1:7">
      <c r="A7" s="100">
        <v>1985</v>
      </c>
      <c r="B7" s="101" t="s">
        <v>1</v>
      </c>
      <c r="C7" s="102" t="s">
        <v>1</v>
      </c>
      <c r="D7" s="101">
        <v>795</v>
      </c>
      <c r="E7" s="102">
        <v>41.5</v>
      </c>
      <c r="F7" s="101">
        <v>474</v>
      </c>
      <c r="G7" s="102">
        <v>28.5</v>
      </c>
    </row>
    <row r="8" ht="16.5" spans="1:7">
      <c r="A8" s="100">
        <v>1986</v>
      </c>
      <c r="B8" s="101" t="s">
        <v>1</v>
      </c>
      <c r="C8" s="102" t="s">
        <v>1</v>
      </c>
      <c r="D8" s="101">
        <v>969</v>
      </c>
      <c r="E8" s="102">
        <v>21.9</v>
      </c>
      <c r="F8" s="101">
        <v>561</v>
      </c>
      <c r="G8" s="102">
        <v>18.4</v>
      </c>
    </row>
    <row r="9" ht="16.5" spans="1:7">
      <c r="A9" s="100">
        <v>1987</v>
      </c>
      <c r="B9" s="101" t="s">
        <v>1</v>
      </c>
      <c r="C9" s="102" t="s">
        <v>1</v>
      </c>
      <c r="D9" s="101">
        <v>1101</v>
      </c>
      <c r="E9" s="102">
        <v>13.6</v>
      </c>
      <c r="F9" s="101">
        <v>659</v>
      </c>
      <c r="G9" s="102">
        <v>17.5</v>
      </c>
    </row>
    <row r="10" ht="16.5" spans="1:7">
      <c r="A10" s="100">
        <v>1988</v>
      </c>
      <c r="B10" s="101" t="s">
        <v>1</v>
      </c>
      <c r="C10" s="102" t="s">
        <v>1</v>
      </c>
      <c r="D10" s="101">
        <v>1453</v>
      </c>
      <c r="E10" s="102">
        <v>32</v>
      </c>
      <c r="F10" s="101">
        <v>839</v>
      </c>
      <c r="G10" s="102">
        <v>27.3</v>
      </c>
    </row>
    <row r="11" ht="16.5" spans="1:7">
      <c r="A11" s="100">
        <v>1989</v>
      </c>
      <c r="B11" s="101" t="s">
        <v>1</v>
      </c>
      <c r="C11" s="102" t="s">
        <v>1</v>
      </c>
      <c r="D11" s="101">
        <v>1556</v>
      </c>
      <c r="E11" s="102">
        <v>7.1</v>
      </c>
      <c r="F11" s="101">
        <v>927</v>
      </c>
      <c r="G11" s="102">
        <v>10.5</v>
      </c>
    </row>
    <row r="12" ht="16.5" spans="1:7">
      <c r="A12" s="100">
        <v>1990</v>
      </c>
      <c r="B12" s="101">
        <v>1151</v>
      </c>
      <c r="C12" s="102" t="s">
        <v>1</v>
      </c>
      <c r="D12" s="101">
        <v>1604</v>
      </c>
      <c r="E12" s="102">
        <v>3.1</v>
      </c>
      <c r="F12" s="101">
        <v>946</v>
      </c>
      <c r="G12" s="102">
        <v>2</v>
      </c>
    </row>
    <row r="13" ht="16.5" spans="1:7">
      <c r="A13" s="100">
        <v>1991</v>
      </c>
      <c r="B13" s="101" t="s">
        <v>1</v>
      </c>
      <c r="C13" s="102" t="s">
        <v>1</v>
      </c>
      <c r="D13" s="101">
        <v>1806</v>
      </c>
      <c r="E13" s="102">
        <v>12.6</v>
      </c>
      <c r="F13" s="101">
        <v>1027</v>
      </c>
      <c r="G13" s="102">
        <v>8.6</v>
      </c>
    </row>
    <row r="14" ht="16.5" spans="1:7">
      <c r="A14" s="100">
        <v>1992</v>
      </c>
      <c r="B14" s="101" t="s">
        <v>1</v>
      </c>
      <c r="C14" s="102" t="s">
        <v>1</v>
      </c>
      <c r="D14" s="101">
        <v>2154</v>
      </c>
      <c r="E14" s="102">
        <v>19.3</v>
      </c>
      <c r="F14" s="101">
        <v>1112</v>
      </c>
      <c r="G14" s="102">
        <v>8.3</v>
      </c>
    </row>
    <row r="15" ht="16.5" spans="1:7">
      <c r="A15" s="100">
        <v>1993</v>
      </c>
      <c r="B15" s="101" t="s">
        <v>1</v>
      </c>
      <c r="C15" s="102" t="s">
        <v>1</v>
      </c>
      <c r="D15" s="101">
        <v>2856</v>
      </c>
      <c r="E15" s="102">
        <v>32.6</v>
      </c>
      <c r="F15" s="101">
        <v>1263</v>
      </c>
      <c r="G15" s="102">
        <v>13.6</v>
      </c>
    </row>
    <row r="16" ht="16.5" spans="1:7">
      <c r="A16" s="100">
        <v>1994</v>
      </c>
      <c r="B16" s="101" t="s">
        <v>1</v>
      </c>
      <c r="C16" s="102" t="s">
        <v>1</v>
      </c>
      <c r="D16" s="101">
        <v>4079</v>
      </c>
      <c r="E16" s="102">
        <v>42.8</v>
      </c>
      <c r="F16" s="101">
        <v>1680</v>
      </c>
      <c r="G16" s="102">
        <v>33</v>
      </c>
    </row>
    <row r="17" ht="16.5" spans="1:7">
      <c r="A17" s="100">
        <v>1995</v>
      </c>
      <c r="B17" s="101" t="s">
        <v>1</v>
      </c>
      <c r="C17" s="102" t="s">
        <v>1</v>
      </c>
      <c r="D17" s="101">
        <v>5263</v>
      </c>
      <c r="E17" s="102">
        <v>29</v>
      </c>
      <c r="F17" s="101">
        <v>2378</v>
      </c>
      <c r="G17" s="102">
        <v>41.5</v>
      </c>
    </row>
    <row r="18" ht="16.5" spans="1:7">
      <c r="A18" s="100">
        <v>1996</v>
      </c>
      <c r="B18" s="101" t="s">
        <v>1</v>
      </c>
      <c r="C18" s="102" t="s">
        <v>1</v>
      </c>
      <c r="D18" s="101">
        <v>5764</v>
      </c>
      <c r="E18" s="102">
        <v>9.5</v>
      </c>
      <c r="F18" s="101">
        <v>2702</v>
      </c>
      <c r="G18" s="102">
        <v>13.6</v>
      </c>
    </row>
    <row r="19" ht="16.5" spans="1:7">
      <c r="A19" s="100">
        <v>1997</v>
      </c>
      <c r="B19" s="101" t="s">
        <v>1</v>
      </c>
      <c r="C19" s="102" t="s">
        <v>1</v>
      </c>
      <c r="D19" s="101">
        <v>6170</v>
      </c>
      <c r="E19" s="102">
        <v>7</v>
      </c>
      <c r="F19" s="101">
        <v>2839</v>
      </c>
      <c r="G19" s="102">
        <v>5.1</v>
      </c>
    </row>
    <row r="20" ht="16.5" spans="1:7">
      <c r="A20" s="100">
        <v>1998</v>
      </c>
      <c r="B20" s="101" t="s">
        <v>1</v>
      </c>
      <c r="C20" s="102" t="s">
        <v>1</v>
      </c>
      <c r="D20" s="101">
        <v>6255</v>
      </c>
      <c r="E20" s="102">
        <v>1.4</v>
      </c>
      <c r="F20" s="101">
        <v>2908</v>
      </c>
      <c r="G20" s="102">
        <v>2.4</v>
      </c>
    </row>
    <row r="21" ht="16.5" spans="1:7">
      <c r="A21" s="100">
        <v>1999</v>
      </c>
      <c r="B21" s="101" t="s">
        <v>1</v>
      </c>
      <c r="C21" s="102" t="s">
        <v>1</v>
      </c>
      <c r="D21" s="101">
        <v>6600</v>
      </c>
      <c r="E21" s="102">
        <v>5.5</v>
      </c>
      <c r="F21" s="101">
        <v>2840</v>
      </c>
      <c r="G21" s="102">
        <v>-2.3</v>
      </c>
    </row>
    <row r="22" ht="16.5" spans="1:7">
      <c r="A22" s="100">
        <v>2000</v>
      </c>
      <c r="B22" s="101">
        <v>5170</v>
      </c>
      <c r="C22" s="102" t="s">
        <v>1</v>
      </c>
      <c r="D22" s="101">
        <v>7150</v>
      </c>
      <c r="E22" s="102">
        <v>8.3</v>
      </c>
      <c r="F22" s="101">
        <v>3292</v>
      </c>
      <c r="G22" s="102">
        <v>15.9</v>
      </c>
    </row>
    <row r="23" ht="16.5" spans="1:7">
      <c r="A23" s="100">
        <v>2001</v>
      </c>
      <c r="B23" s="101" t="s">
        <v>1</v>
      </c>
      <c r="C23" s="102" t="s">
        <v>1</v>
      </c>
      <c r="D23" s="101">
        <v>8153</v>
      </c>
      <c r="E23" s="102">
        <v>14</v>
      </c>
      <c r="F23" s="101">
        <v>3568</v>
      </c>
      <c r="G23" s="102">
        <v>8.4</v>
      </c>
    </row>
    <row r="24" ht="16.5" spans="1:7">
      <c r="A24" s="100">
        <v>2002</v>
      </c>
      <c r="B24" s="101" t="s">
        <v>1</v>
      </c>
      <c r="C24" s="102" t="s">
        <v>1</v>
      </c>
      <c r="D24" s="101">
        <v>8990</v>
      </c>
      <c r="E24" s="102">
        <v>10.3</v>
      </c>
      <c r="F24" s="101">
        <v>3811</v>
      </c>
      <c r="G24" s="102">
        <v>6.8</v>
      </c>
    </row>
    <row r="25" ht="16.5" spans="1:7">
      <c r="A25" s="100">
        <v>2003</v>
      </c>
      <c r="B25" s="101" t="s">
        <v>1</v>
      </c>
      <c r="C25" s="102" t="s">
        <v>1</v>
      </c>
      <c r="D25" s="101">
        <v>10087</v>
      </c>
      <c r="E25" s="102">
        <v>12.2</v>
      </c>
      <c r="F25" s="101">
        <v>4453</v>
      </c>
      <c r="G25" s="102">
        <v>16.8</v>
      </c>
    </row>
    <row r="26" ht="16.5" spans="1:7">
      <c r="A26" s="100">
        <v>2004</v>
      </c>
      <c r="B26" s="101" t="s">
        <v>1</v>
      </c>
      <c r="C26" s="102" t="s">
        <v>1</v>
      </c>
      <c r="D26" s="101">
        <v>11116</v>
      </c>
      <c r="E26" s="102">
        <v>10.2</v>
      </c>
      <c r="F26" s="101">
        <v>4873</v>
      </c>
      <c r="G26" s="102">
        <v>9.4</v>
      </c>
    </row>
    <row r="27" ht="16.5" spans="1:7">
      <c r="A27" s="100">
        <v>2005</v>
      </c>
      <c r="B27" s="101">
        <v>9740</v>
      </c>
      <c r="C27" s="102" t="s">
        <v>1</v>
      </c>
      <c r="D27" s="101">
        <v>12894</v>
      </c>
      <c r="E27" s="102">
        <v>16</v>
      </c>
      <c r="F27" s="101">
        <v>5723</v>
      </c>
      <c r="G27" s="102">
        <v>17.4</v>
      </c>
    </row>
    <row r="28" ht="16.5" spans="1:7">
      <c r="A28" s="100">
        <v>2006</v>
      </c>
      <c r="B28" s="101">
        <v>10780</v>
      </c>
      <c r="C28" s="102">
        <v>10.7</v>
      </c>
      <c r="D28" s="101">
        <v>14135</v>
      </c>
      <c r="E28" s="102">
        <v>9.6</v>
      </c>
      <c r="F28" s="101">
        <v>6423</v>
      </c>
      <c r="G28" s="102">
        <v>12.2</v>
      </c>
    </row>
    <row r="29" ht="16.5" spans="1:7">
      <c r="A29" s="100">
        <v>2007</v>
      </c>
      <c r="B29" s="101">
        <v>11695</v>
      </c>
      <c r="C29" s="102">
        <v>8.5</v>
      </c>
      <c r="D29" s="101">
        <v>15014</v>
      </c>
      <c r="E29" s="102">
        <v>6.2</v>
      </c>
      <c r="F29" s="101">
        <v>7261</v>
      </c>
      <c r="G29" s="102">
        <v>13</v>
      </c>
    </row>
    <row r="30" ht="16.5" spans="1:7">
      <c r="A30" s="100">
        <v>2008</v>
      </c>
      <c r="B30" s="101">
        <v>12794</v>
      </c>
      <c r="C30" s="102">
        <v>9.4</v>
      </c>
      <c r="D30" s="101">
        <v>16252</v>
      </c>
      <c r="E30" s="102">
        <v>8.2</v>
      </c>
      <c r="F30" s="101">
        <v>8096</v>
      </c>
      <c r="G30" s="102">
        <v>11.5</v>
      </c>
    </row>
    <row r="31" ht="16.5" spans="1:7">
      <c r="A31" s="100">
        <v>2009</v>
      </c>
      <c r="B31" s="101">
        <v>13943</v>
      </c>
      <c r="C31" s="102">
        <v>9</v>
      </c>
      <c r="D31" s="101">
        <v>18003</v>
      </c>
      <c r="E31" s="102">
        <v>10.8</v>
      </c>
      <c r="F31" s="101">
        <v>8360</v>
      </c>
      <c r="G31" s="102">
        <v>3.3</v>
      </c>
    </row>
    <row r="32" ht="16.5" spans="1:7">
      <c r="A32" s="100">
        <v>2010</v>
      </c>
      <c r="B32" s="101">
        <v>15634</v>
      </c>
      <c r="C32" s="102">
        <v>12.1</v>
      </c>
      <c r="D32" s="101">
        <v>19391</v>
      </c>
      <c r="E32" s="102">
        <v>7.7</v>
      </c>
      <c r="F32" s="101">
        <v>9721</v>
      </c>
      <c r="G32" s="102">
        <v>16.3</v>
      </c>
    </row>
    <row r="33" ht="16.5" spans="1:7">
      <c r="A33" s="100">
        <v>2011</v>
      </c>
      <c r="B33" s="101">
        <v>17874</v>
      </c>
      <c r="C33" s="102">
        <v>14.3</v>
      </c>
      <c r="D33" s="101">
        <v>22192</v>
      </c>
      <c r="E33" s="102">
        <v>14.4</v>
      </c>
      <c r="F33" s="101">
        <v>10849</v>
      </c>
      <c r="G33" s="102">
        <v>11.6</v>
      </c>
    </row>
    <row r="34" ht="16.5" spans="1:7">
      <c r="A34" s="100">
        <v>2012</v>
      </c>
      <c r="B34" s="101">
        <v>18931</v>
      </c>
      <c r="C34" s="102">
        <v>5.9</v>
      </c>
      <c r="D34" s="101">
        <v>23395</v>
      </c>
      <c r="E34" s="102">
        <v>5.4</v>
      </c>
      <c r="F34" s="101">
        <v>11598</v>
      </c>
      <c r="G34" s="102">
        <v>6.9</v>
      </c>
    </row>
    <row r="35" ht="16.5" spans="1:7">
      <c r="A35" s="100">
        <v>2013</v>
      </c>
      <c r="B35" s="101">
        <v>20610</v>
      </c>
      <c r="C35" s="102">
        <v>8.9</v>
      </c>
      <c r="D35" s="101">
        <v>25254</v>
      </c>
      <c r="E35" s="102">
        <v>7.9</v>
      </c>
      <c r="F35" s="101">
        <v>12803</v>
      </c>
      <c r="G35" s="102">
        <v>10.4</v>
      </c>
    </row>
    <row r="36" ht="16.5" spans="1:7">
      <c r="A36" s="100">
        <v>2014</v>
      </c>
      <c r="B36" s="101">
        <v>22552</v>
      </c>
      <c r="C36" s="102">
        <v>9.4</v>
      </c>
      <c r="D36" s="101">
        <v>27242</v>
      </c>
      <c r="E36" s="102">
        <v>7.9</v>
      </c>
      <c r="F36" s="101">
        <v>14498</v>
      </c>
      <c r="G36" s="102">
        <v>13.2</v>
      </c>
    </row>
    <row r="37" ht="16.5" spans="1:7">
      <c r="A37" s="100">
        <v>2015</v>
      </c>
      <c r="B37" s="101">
        <v>24117</v>
      </c>
      <c r="C37" s="102">
        <v>6.9</v>
      </c>
      <c r="D37" s="101">
        <v>28661</v>
      </c>
      <c r="E37" s="102">
        <v>5.2</v>
      </c>
      <c r="F37" s="101">
        <v>16108</v>
      </c>
      <c r="G37" s="102">
        <v>11.1</v>
      </c>
    </row>
    <row r="38" ht="16.5" spans="1:7">
      <c r="A38" s="100">
        <v>2016</v>
      </c>
      <c r="B38" s="101">
        <v>25527</v>
      </c>
      <c r="C38" s="102">
        <v>5.8</v>
      </c>
      <c r="D38" s="101">
        <v>30068</v>
      </c>
      <c r="E38" s="102">
        <v>4.9</v>
      </c>
      <c r="F38" s="101">
        <v>17359</v>
      </c>
      <c r="G38" s="102">
        <v>7.8</v>
      </c>
    </row>
    <row r="39" ht="16.5" spans="1:7">
      <c r="A39" s="100">
        <v>2017</v>
      </c>
      <c r="B39" s="101">
        <v>27079</v>
      </c>
      <c r="C39" s="102">
        <v>6.1</v>
      </c>
      <c r="D39" s="101">
        <v>31924</v>
      </c>
      <c r="E39" s="102">
        <v>6.2</v>
      </c>
      <c r="F39" s="101">
        <v>18093</v>
      </c>
      <c r="G39" s="102">
        <v>4.2</v>
      </c>
    </row>
    <row r="40" ht="16.5" spans="1:7">
      <c r="A40" s="100">
        <v>2018</v>
      </c>
      <c r="B40" s="101">
        <v>29471</v>
      </c>
      <c r="C40" s="102">
        <v>8.8</v>
      </c>
      <c r="D40" s="101">
        <v>34598</v>
      </c>
      <c r="E40" s="102">
        <v>8.4</v>
      </c>
      <c r="F40" s="101">
        <v>19707</v>
      </c>
      <c r="G40" s="102">
        <v>8.9</v>
      </c>
    </row>
    <row r="41" ht="16.5" spans="1:7">
      <c r="A41" s="100">
        <v>2019</v>
      </c>
      <c r="B41" s="101">
        <v>32026</v>
      </c>
      <c r="C41" s="102">
        <v>8.7</v>
      </c>
      <c r="D41" s="101">
        <v>37508</v>
      </c>
      <c r="E41" s="102">
        <v>8.4</v>
      </c>
      <c r="F41" s="101">
        <v>21352</v>
      </c>
      <c r="G41" s="102">
        <v>8.3</v>
      </c>
    </row>
    <row r="42" ht="16.5" spans="1:7">
      <c r="A42" s="100">
        <v>2020</v>
      </c>
      <c r="B42" s="101">
        <v>31295</v>
      </c>
      <c r="C42" s="102">
        <v>-2.3</v>
      </c>
      <c r="D42" s="101">
        <v>36197</v>
      </c>
      <c r="E42" s="102">
        <v>-3.5</v>
      </c>
      <c r="F42" s="101">
        <v>21555</v>
      </c>
      <c r="G42" s="102">
        <v>1</v>
      </c>
    </row>
    <row r="43" ht="16.5" spans="1:7">
      <c r="A43" s="100">
        <v>2021</v>
      </c>
      <c r="B43" s="101">
        <v>36668</v>
      </c>
      <c r="C43" s="102">
        <v>17.2</v>
      </c>
      <c r="D43" s="101">
        <v>42193</v>
      </c>
      <c r="E43" s="102">
        <v>16.6</v>
      </c>
      <c r="F43" s="101">
        <v>25415</v>
      </c>
      <c r="G43" s="102">
        <v>17.9</v>
      </c>
    </row>
    <row r="44" ht="16.5" spans="1:7">
      <c r="A44" s="100">
        <v>2022</v>
      </c>
      <c r="B44" s="101">
        <v>38971</v>
      </c>
      <c r="C44" s="102">
        <v>6.3</v>
      </c>
      <c r="D44" s="101">
        <v>44511</v>
      </c>
      <c r="E44" s="102">
        <v>5.5</v>
      </c>
      <c r="F44" s="101">
        <v>27483</v>
      </c>
      <c r="G44" s="102">
        <v>8.1</v>
      </c>
    </row>
    <row r="45" ht="16.5" spans="1:7">
      <c r="A45" s="100">
        <v>2023</v>
      </c>
      <c r="B45" s="101">
        <v>42194</v>
      </c>
      <c r="C45" s="102">
        <v>8.3</v>
      </c>
      <c r="D45" s="101">
        <v>47762</v>
      </c>
      <c r="E45" s="102">
        <v>7.3</v>
      </c>
      <c r="F45" s="101">
        <v>30468</v>
      </c>
      <c r="G45" s="102">
        <v>10.9</v>
      </c>
    </row>
    <row r="46" ht="16.5" spans="1:7">
      <c r="A46" s="100">
        <v>2024</v>
      </c>
      <c r="B46" s="103">
        <v>45107</v>
      </c>
      <c r="C46" s="102">
        <v>6.9</v>
      </c>
      <c r="D46" s="103">
        <v>50704</v>
      </c>
      <c r="E46" s="102">
        <v>6.2</v>
      </c>
      <c r="F46" s="103">
        <v>33043</v>
      </c>
      <c r="G46" s="102">
        <v>8.5</v>
      </c>
    </row>
  </sheetData>
  <mergeCells count="5">
    <mergeCell ref="A1:G1"/>
    <mergeCell ref="B2:C2"/>
    <mergeCell ref="D2:E2"/>
    <mergeCell ref="F2:G2"/>
    <mergeCell ref="A2:A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48"/>
  <sheetViews>
    <sheetView workbookViewId="0">
      <selection activeCell="D54" sqref="D54"/>
    </sheetView>
  </sheetViews>
  <sheetFormatPr defaultColWidth="9" defaultRowHeight="15"/>
  <cols>
    <col min="1" max="1" width="10.25" style="1" customWidth="1"/>
    <col min="2" max="2" width="15.25" style="1" customWidth="1"/>
    <col min="3" max="3" width="17.875" style="1" customWidth="1"/>
    <col min="4" max="4" width="22.75" style="1" customWidth="1"/>
    <col min="5" max="6" width="12" style="1" customWidth="1"/>
    <col min="7" max="7" width="11.875" style="1" customWidth="1"/>
  </cols>
  <sheetData>
    <row r="1" ht="16.5" spans="1:9">
      <c r="A1" s="10" t="s">
        <v>62</v>
      </c>
      <c r="B1" s="10" t="s">
        <v>63</v>
      </c>
      <c r="C1" s="10" t="s">
        <v>64</v>
      </c>
      <c r="D1" s="10" t="s">
        <v>65</v>
      </c>
      <c r="E1" s="10" t="s">
        <v>66</v>
      </c>
      <c r="F1" s="10" t="s">
        <v>67</v>
      </c>
      <c r="G1" s="10" t="s">
        <v>68</v>
      </c>
      <c r="H1" s="17"/>
      <c r="I1" s="17"/>
    </row>
    <row r="2" ht="16.5" spans="1:9">
      <c r="A2" s="10">
        <v>2022</v>
      </c>
      <c r="B2" s="10" t="s">
        <v>69</v>
      </c>
      <c r="C2" s="10" t="s">
        <v>4</v>
      </c>
      <c r="D2" s="10" t="s">
        <v>70</v>
      </c>
      <c r="E2" s="10" t="s">
        <v>7</v>
      </c>
      <c r="F2" s="87">
        <v>60302</v>
      </c>
      <c r="G2" s="10" t="s">
        <v>71</v>
      </c>
      <c r="H2" s="17"/>
      <c r="I2" s="17"/>
    </row>
    <row r="3" ht="16.5" spans="1:9">
      <c r="A3" s="10">
        <v>2023</v>
      </c>
      <c r="B3" s="10" t="s">
        <v>69</v>
      </c>
      <c r="C3" s="10" t="s">
        <v>4</v>
      </c>
      <c r="D3" s="10" t="s">
        <v>70</v>
      </c>
      <c r="E3" s="10" t="s">
        <v>7</v>
      </c>
      <c r="F3" s="87">
        <v>63830</v>
      </c>
      <c r="G3" s="10" t="s">
        <v>71</v>
      </c>
      <c r="H3" s="17"/>
      <c r="I3" s="17"/>
    </row>
    <row r="4" ht="16.5" spans="1:9">
      <c r="A4" s="10">
        <v>2024</v>
      </c>
      <c r="B4" s="10" t="s">
        <v>69</v>
      </c>
      <c r="C4" s="10" t="s">
        <v>4</v>
      </c>
      <c r="D4" s="10" t="s">
        <v>70</v>
      </c>
      <c r="E4" s="10" t="s">
        <v>7</v>
      </c>
      <c r="F4" s="87">
        <v>67013</v>
      </c>
      <c r="G4" s="10" t="s">
        <v>71</v>
      </c>
      <c r="H4" s="17"/>
      <c r="I4" s="17"/>
    </row>
    <row r="5" ht="16.5" spans="1:9">
      <c r="A5" s="10">
        <v>2022</v>
      </c>
      <c r="B5" s="10" t="s">
        <v>72</v>
      </c>
      <c r="C5" s="10" t="s">
        <v>5</v>
      </c>
      <c r="D5" s="10" t="s">
        <v>70</v>
      </c>
      <c r="E5" s="10" t="s">
        <v>7</v>
      </c>
      <c r="F5" s="87">
        <v>71268</v>
      </c>
      <c r="G5" s="10" t="s">
        <v>71</v>
      </c>
      <c r="H5" s="17"/>
      <c r="I5" s="17"/>
    </row>
    <row r="6" ht="16.5" spans="1:9">
      <c r="A6" s="10">
        <v>2023</v>
      </c>
      <c r="B6" s="10" t="s">
        <v>72</v>
      </c>
      <c r="C6" s="10" t="s">
        <v>5</v>
      </c>
      <c r="D6" s="10" t="s">
        <v>70</v>
      </c>
      <c r="E6" s="10" t="s">
        <v>7</v>
      </c>
      <c r="F6" s="87">
        <v>74997</v>
      </c>
      <c r="G6" s="10" t="s">
        <v>71</v>
      </c>
      <c r="H6" s="17"/>
      <c r="I6" s="17"/>
    </row>
    <row r="7" ht="16.5" spans="1:9">
      <c r="A7" s="10">
        <v>2024</v>
      </c>
      <c r="B7" s="10" t="s">
        <v>72</v>
      </c>
      <c r="C7" s="10" t="s">
        <v>5</v>
      </c>
      <c r="D7" s="10" t="s">
        <v>70</v>
      </c>
      <c r="E7" s="10" t="s">
        <v>7</v>
      </c>
      <c r="F7" s="87">
        <v>78251</v>
      </c>
      <c r="G7" s="10" t="s">
        <v>71</v>
      </c>
      <c r="H7" s="17"/>
      <c r="I7" s="17"/>
    </row>
    <row r="8" ht="16.5" spans="1:9">
      <c r="A8" s="10">
        <v>2022</v>
      </c>
      <c r="B8" s="10" t="s">
        <v>73</v>
      </c>
      <c r="C8" s="10" t="s">
        <v>6</v>
      </c>
      <c r="D8" s="10" t="s">
        <v>70</v>
      </c>
      <c r="E8" s="10" t="s">
        <v>7</v>
      </c>
      <c r="F8" s="87">
        <v>37565</v>
      </c>
      <c r="G8" s="10" t="s">
        <v>71</v>
      </c>
      <c r="H8" s="17"/>
      <c r="I8" s="17"/>
    </row>
    <row r="9" ht="16.5" spans="1:9">
      <c r="A9" s="10">
        <v>2023</v>
      </c>
      <c r="B9" s="10" t="s">
        <v>73</v>
      </c>
      <c r="C9" s="10" t="s">
        <v>6</v>
      </c>
      <c r="D9" s="10" t="s">
        <v>70</v>
      </c>
      <c r="E9" s="10" t="s">
        <v>7</v>
      </c>
      <c r="F9" s="87">
        <v>40311</v>
      </c>
      <c r="G9" s="10" t="s">
        <v>71</v>
      </c>
      <c r="H9" s="17"/>
      <c r="I9" s="17"/>
    </row>
    <row r="10" ht="16.5" spans="1:9">
      <c r="A10" s="33">
        <v>2024</v>
      </c>
      <c r="B10" s="33" t="s">
        <v>73</v>
      </c>
      <c r="C10" s="33" t="s">
        <v>6</v>
      </c>
      <c r="D10" s="33" t="s">
        <v>70</v>
      </c>
      <c r="E10" s="33" t="s">
        <v>7</v>
      </c>
      <c r="F10" s="88">
        <v>42786</v>
      </c>
      <c r="G10" s="33" t="s">
        <v>71</v>
      </c>
      <c r="H10" s="17"/>
      <c r="I10" s="17"/>
    </row>
    <row r="11" hidden="1" spans="1:9">
      <c r="A11" s="1">
        <v>2022</v>
      </c>
      <c r="B11" s="1" t="s">
        <v>69</v>
      </c>
      <c r="C11" s="1" t="s">
        <v>74</v>
      </c>
      <c r="D11" s="1" t="s">
        <v>75</v>
      </c>
      <c r="E11" s="1" t="s">
        <v>76</v>
      </c>
      <c r="F11" s="89">
        <v>34177</v>
      </c>
      <c r="G11" s="1" t="s">
        <v>77</v>
      </c>
    </row>
    <row r="12" hidden="1" spans="1:9">
      <c r="A12" s="1">
        <v>2023</v>
      </c>
      <c r="B12" s="1" t="s">
        <v>69</v>
      </c>
      <c r="C12" s="1" t="s">
        <v>74</v>
      </c>
      <c r="D12" s="1" t="s">
        <v>75</v>
      </c>
      <c r="E12" s="1" t="s">
        <v>76</v>
      </c>
      <c r="F12" s="89">
        <v>35769</v>
      </c>
      <c r="G12" s="1" t="s">
        <v>77</v>
      </c>
    </row>
    <row r="13" hidden="1" spans="1:9">
      <c r="A13" s="1">
        <v>2024</v>
      </c>
      <c r="B13" s="1" t="s">
        <v>69</v>
      </c>
      <c r="C13" s="1" t="s">
        <v>74</v>
      </c>
      <c r="D13" s="1" t="s">
        <v>75</v>
      </c>
      <c r="E13" s="1" t="s">
        <v>76</v>
      </c>
      <c r="F13" s="89">
        <v>37220</v>
      </c>
      <c r="G13" s="1" t="s">
        <v>77</v>
      </c>
    </row>
    <row r="14" hidden="1" spans="1:9">
      <c r="A14" s="1">
        <v>2022</v>
      </c>
      <c r="B14" s="1" t="s">
        <v>72</v>
      </c>
      <c r="C14" s="1" t="s">
        <v>78</v>
      </c>
      <c r="D14" s="1" t="s">
        <v>75</v>
      </c>
      <c r="E14" s="1" t="s">
        <v>76</v>
      </c>
      <c r="F14" s="89">
        <v>39718</v>
      </c>
      <c r="G14" s="1" t="s">
        <v>77</v>
      </c>
    </row>
    <row r="15" hidden="1" spans="1:9">
      <c r="A15" s="1">
        <v>2023</v>
      </c>
      <c r="B15" s="1" t="s">
        <v>72</v>
      </c>
      <c r="C15" s="1" t="s">
        <v>78</v>
      </c>
      <c r="D15" s="1" t="s">
        <v>75</v>
      </c>
      <c r="E15" s="1" t="s">
        <v>76</v>
      </c>
      <c r="F15" s="89">
        <v>41439</v>
      </c>
      <c r="G15" s="1" t="s">
        <v>77</v>
      </c>
    </row>
    <row r="16" hidden="1" spans="1:9">
      <c r="A16" s="1">
        <v>2024</v>
      </c>
      <c r="B16" s="1" t="s">
        <v>72</v>
      </c>
      <c r="C16" s="1" t="s">
        <v>78</v>
      </c>
      <c r="D16" s="1" t="s">
        <v>75</v>
      </c>
      <c r="E16" s="1" t="s">
        <v>76</v>
      </c>
      <c r="F16" s="89">
        <v>42845</v>
      </c>
      <c r="G16" s="1" t="s">
        <v>77</v>
      </c>
    </row>
    <row r="17" hidden="1" spans="1:7">
      <c r="A17" s="1">
        <v>2022</v>
      </c>
      <c r="B17" s="1" t="s">
        <v>73</v>
      </c>
      <c r="C17" s="1" t="s">
        <v>79</v>
      </c>
      <c r="D17" s="1" t="s">
        <v>75</v>
      </c>
      <c r="E17" s="1" t="s">
        <v>76</v>
      </c>
      <c r="F17" s="89">
        <v>22687</v>
      </c>
      <c r="G17" s="1" t="s">
        <v>77</v>
      </c>
    </row>
    <row r="18" hidden="1" spans="1:7">
      <c r="A18" s="1">
        <v>2023</v>
      </c>
      <c r="B18" s="1" t="s">
        <v>73</v>
      </c>
      <c r="C18" s="1" t="s">
        <v>79</v>
      </c>
      <c r="D18" s="1" t="s">
        <v>75</v>
      </c>
      <c r="E18" s="1" t="s">
        <v>76</v>
      </c>
      <c r="F18" s="89">
        <v>23825</v>
      </c>
      <c r="G18" s="1" t="s">
        <v>77</v>
      </c>
    </row>
    <row r="19" hidden="1" spans="1:7">
      <c r="A19" s="90">
        <v>2024</v>
      </c>
      <c r="B19" s="90" t="s">
        <v>73</v>
      </c>
      <c r="C19" s="90" t="s">
        <v>79</v>
      </c>
      <c r="D19" s="90" t="s">
        <v>75</v>
      </c>
      <c r="E19" s="90" t="s">
        <v>76</v>
      </c>
      <c r="F19" s="91">
        <v>25094</v>
      </c>
      <c r="G19" s="90" t="s">
        <v>77</v>
      </c>
    </row>
    <row r="20" hidden="1" spans="1:7">
      <c r="A20" s="1">
        <v>2022</v>
      </c>
      <c r="B20" s="1" t="s">
        <v>69</v>
      </c>
      <c r="C20" s="1" t="s">
        <v>74</v>
      </c>
      <c r="D20" s="1" t="s">
        <v>80</v>
      </c>
      <c r="E20" s="1" t="s">
        <v>81</v>
      </c>
      <c r="F20" s="89">
        <v>9880</v>
      </c>
      <c r="G20" s="1" t="s">
        <v>77</v>
      </c>
    </row>
    <row r="21" hidden="1" spans="1:7">
      <c r="A21" s="1">
        <v>2023</v>
      </c>
      <c r="B21" s="1" t="s">
        <v>69</v>
      </c>
      <c r="C21" s="1" t="s">
        <v>74</v>
      </c>
      <c r="D21" s="1" t="s">
        <v>80</v>
      </c>
      <c r="E21" s="1" t="s">
        <v>81</v>
      </c>
      <c r="F21" s="89">
        <v>10664</v>
      </c>
      <c r="G21" s="1" t="s">
        <v>77</v>
      </c>
    </row>
    <row r="22" hidden="1" spans="1:7">
      <c r="A22" s="1">
        <v>2024</v>
      </c>
      <c r="B22" s="1" t="s">
        <v>69</v>
      </c>
      <c r="C22" s="1" t="s">
        <v>74</v>
      </c>
      <c r="D22" s="1" t="s">
        <v>80</v>
      </c>
      <c r="E22" s="1" t="s">
        <v>81</v>
      </c>
      <c r="F22" s="89">
        <v>11423</v>
      </c>
      <c r="G22" s="1" t="s">
        <v>77</v>
      </c>
    </row>
    <row r="23" hidden="1" spans="1:7">
      <c r="A23" s="1">
        <v>2022</v>
      </c>
      <c r="B23" s="1" t="s">
        <v>72</v>
      </c>
      <c r="C23" s="1" t="s">
        <v>78</v>
      </c>
      <c r="D23" s="1" t="s">
        <v>80</v>
      </c>
      <c r="E23" s="1" t="s">
        <v>81</v>
      </c>
      <c r="F23" s="89">
        <v>10233</v>
      </c>
      <c r="G23" s="1" t="s">
        <v>77</v>
      </c>
    </row>
    <row r="24" hidden="1" spans="1:7">
      <c r="A24" s="1">
        <v>2023</v>
      </c>
      <c r="B24" s="1" t="s">
        <v>72</v>
      </c>
      <c r="C24" s="1" t="s">
        <v>78</v>
      </c>
      <c r="D24" s="1" t="s">
        <v>80</v>
      </c>
      <c r="E24" s="1" t="s">
        <v>81</v>
      </c>
      <c r="F24" s="89">
        <v>10833</v>
      </c>
      <c r="G24" s="1" t="s">
        <v>77</v>
      </c>
    </row>
    <row r="25" hidden="1" spans="1:7">
      <c r="A25" s="1">
        <v>2024</v>
      </c>
      <c r="B25" s="1" t="s">
        <v>72</v>
      </c>
      <c r="C25" s="1" t="s">
        <v>78</v>
      </c>
      <c r="D25" s="1" t="s">
        <v>80</v>
      </c>
      <c r="E25" s="1" t="s">
        <v>81</v>
      </c>
      <c r="F25" s="89">
        <v>11566</v>
      </c>
      <c r="G25" s="1" t="s">
        <v>77</v>
      </c>
    </row>
    <row r="26" hidden="1" spans="1:7">
      <c r="A26" s="1">
        <v>2022</v>
      </c>
      <c r="B26" s="1" t="s">
        <v>73</v>
      </c>
      <c r="C26" s="1" t="s">
        <v>79</v>
      </c>
      <c r="D26" s="1" t="s">
        <v>80</v>
      </c>
      <c r="E26" s="1" t="s">
        <v>81</v>
      </c>
      <c r="F26" s="89">
        <v>9149</v>
      </c>
      <c r="G26" s="1" t="s">
        <v>77</v>
      </c>
    </row>
    <row r="27" hidden="1" spans="1:7">
      <c r="A27" s="1">
        <v>2023</v>
      </c>
      <c r="B27" s="1" t="s">
        <v>73</v>
      </c>
      <c r="C27" s="1" t="s">
        <v>79</v>
      </c>
      <c r="D27" s="1" t="s">
        <v>80</v>
      </c>
      <c r="E27" s="1" t="s">
        <v>81</v>
      </c>
      <c r="F27" s="89">
        <v>10307</v>
      </c>
      <c r="G27" s="1" t="s">
        <v>77</v>
      </c>
    </row>
    <row r="28" hidden="1" spans="1:7">
      <c r="A28" s="90">
        <v>2024</v>
      </c>
      <c r="B28" s="90" t="s">
        <v>73</v>
      </c>
      <c r="C28" s="90" t="s">
        <v>79</v>
      </c>
      <c r="D28" s="90" t="s">
        <v>80</v>
      </c>
      <c r="E28" s="90" t="s">
        <v>81</v>
      </c>
      <c r="F28" s="91">
        <v>11115</v>
      </c>
      <c r="G28" s="90" t="s">
        <v>77</v>
      </c>
    </row>
    <row r="29" hidden="1" spans="1:7">
      <c r="A29" s="1">
        <v>2022</v>
      </c>
      <c r="B29" s="1" t="s">
        <v>69</v>
      </c>
      <c r="C29" s="1" t="s">
        <v>74</v>
      </c>
      <c r="D29" s="1" t="s">
        <v>82</v>
      </c>
      <c r="E29" s="1" t="s">
        <v>83</v>
      </c>
      <c r="F29" s="89">
        <v>7397</v>
      </c>
      <c r="G29" s="1" t="s">
        <v>77</v>
      </c>
    </row>
    <row r="30" hidden="1" spans="1:7">
      <c r="A30" s="1">
        <v>2023</v>
      </c>
      <c r="B30" s="1" t="s">
        <v>69</v>
      </c>
      <c r="C30" s="1" t="s">
        <v>74</v>
      </c>
      <c r="D30" s="1" t="s">
        <v>82</v>
      </c>
      <c r="E30" s="1" t="s">
        <v>83</v>
      </c>
      <c r="F30" s="89">
        <v>7783</v>
      </c>
      <c r="G30" s="1" t="s">
        <v>77</v>
      </c>
    </row>
    <row r="31" hidden="1" spans="1:7">
      <c r="A31" s="1">
        <v>2024</v>
      </c>
      <c r="B31" s="1" t="s">
        <v>69</v>
      </c>
      <c r="C31" s="1" t="s">
        <v>74</v>
      </c>
      <c r="D31" s="1" t="s">
        <v>82</v>
      </c>
      <c r="E31" s="1" t="s">
        <v>83</v>
      </c>
      <c r="F31" s="89">
        <v>8103</v>
      </c>
      <c r="G31" s="1" t="s">
        <v>77</v>
      </c>
    </row>
    <row r="32" hidden="1" spans="1:7">
      <c r="A32" s="1">
        <v>2022</v>
      </c>
      <c r="B32" s="1" t="s">
        <v>72</v>
      </c>
      <c r="C32" s="1" t="s">
        <v>78</v>
      </c>
      <c r="D32" s="1" t="s">
        <v>82</v>
      </c>
      <c r="E32" s="1" t="s">
        <v>83</v>
      </c>
      <c r="F32" s="89">
        <v>10397</v>
      </c>
      <c r="G32" s="1" t="s">
        <v>77</v>
      </c>
    </row>
    <row r="33" hidden="1" spans="1:9">
      <c r="A33" s="1">
        <v>2023</v>
      </c>
      <c r="B33" s="1" t="s">
        <v>72</v>
      </c>
      <c r="C33" s="1" t="s">
        <v>78</v>
      </c>
      <c r="D33" s="1" t="s">
        <v>82</v>
      </c>
      <c r="E33" s="1" t="s">
        <v>83</v>
      </c>
      <c r="F33" s="89">
        <v>10880</v>
      </c>
      <c r="G33" s="1" t="s">
        <v>77</v>
      </c>
    </row>
    <row r="34" hidden="1" spans="1:9">
      <c r="A34" s="1">
        <v>2024</v>
      </c>
      <c r="B34" s="1" t="s">
        <v>72</v>
      </c>
      <c r="C34" s="1" t="s">
        <v>78</v>
      </c>
      <c r="D34" s="1" t="s">
        <v>82</v>
      </c>
      <c r="E34" s="1" t="s">
        <v>83</v>
      </c>
      <c r="F34" s="89">
        <v>11252</v>
      </c>
      <c r="G34" s="1" t="s">
        <v>77</v>
      </c>
    </row>
    <row r="35" hidden="1" spans="1:9">
      <c r="A35" s="1">
        <v>2022</v>
      </c>
      <c r="B35" s="1" t="s">
        <v>73</v>
      </c>
      <c r="C35" s="1" t="s">
        <v>79</v>
      </c>
      <c r="D35" s="1" t="s">
        <v>82</v>
      </c>
      <c r="E35" s="1" t="s">
        <v>83</v>
      </c>
      <c r="F35" s="89">
        <v>1177</v>
      </c>
      <c r="G35" s="1" t="s">
        <v>77</v>
      </c>
    </row>
    <row r="36" hidden="1" spans="1:9">
      <c r="A36" s="1">
        <v>2023</v>
      </c>
      <c r="B36" s="1" t="s">
        <v>73</v>
      </c>
      <c r="C36" s="1" t="s">
        <v>79</v>
      </c>
      <c r="D36" s="1" t="s">
        <v>82</v>
      </c>
      <c r="E36" s="1" t="s">
        <v>83</v>
      </c>
      <c r="F36" s="89">
        <v>1259</v>
      </c>
      <c r="G36" s="1" t="s">
        <v>77</v>
      </c>
    </row>
    <row r="37" hidden="1" spans="1:9">
      <c r="A37" s="90">
        <v>2024</v>
      </c>
      <c r="B37" s="90" t="s">
        <v>73</v>
      </c>
      <c r="C37" s="90" t="s">
        <v>79</v>
      </c>
      <c r="D37" s="90" t="s">
        <v>82</v>
      </c>
      <c r="E37" s="90" t="s">
        <v>83</v>
      </c>
      <c r="F37" s="91">
        <v>1316</v>
      </c>
      <c r="G37" s="90" t="s">
        <v>77</v>
      </c>
    </row>
    <row r="38" hidden="1" spans="1:9">
      <c r="A38" s="1">
        <v>2022</v>
      </c>
      <c r="B38" s="1" t="s">
        <v>69</v>
      </c>
      <c r="C38" s="1" t="s">
        <v>74</v>
      </c>
      <c r="D38" s="1" t="s">
        <v>84</v>
      </c>
      <c r="E38" s="1" t="s">
        <v>85</v>
      </c>
      <c r="F38" s="89">
        <v>8848</v>
      </c>
      <c r="G38" s="1" t="s">
        <v>77</v>
      </c>
    </row>
    <row r="39" hidden="1" spans="1:9">
      <c r="A39" s="1">
        <v>2023</v>
      </c>
      <c r="B39" s="1" t="s">
        <v>69</v>
      </c>
      <c r="C39" s="1" t="s">
        <v>74</v>
      </c>
      <c r="D39" s="1" t="s">
        <v>84</v>
      </c>
      <c r="E39" s="1" t="s">
        <v>85</v>
      </c>
      <c r="F39" s="89">
        <v>9615</v>
      </c>
      <c r="G39" s="1" t="s">
        <v>77</v>
      </c>
    </row>
    <row r="40" hidden="1" spans="1:9">
      <c r="A40" s="1">
        <v>2024</v>
      </c>
      <c r="B40" s="1" t="s">
        <v>69</v>
      </c>
      <c r="C40" s="1" t="s">
        <v>74</v>
      </c>
      <c r="D40" s="1" t="s">
        <v>84</v>
      </c>
      <c r="E40" s="1" t="s">
        <v>85</v>
      </c>
      <c r="F40" s="89">
        <v>10266</v>
      </c>
      <c r="G40" s="1" t="s">
        <v>77</v>
      </c>
    </row>
    <row r="41" hidden="1" spans="1:9">
      <c r="A41" s="1">
        <v>2022</v>
      </c>
      <c r="B41" s="1" t="s">
        <v>72</v>
      </c>
      <c r="C41" s="1" t="s">
        <v>78</v>
      </c>
      <c r="D41" s="1" t="s">
        <v>84</v>
      </c>
      <c r="E41" s="1" t="s">
        <v>85</v>
      </c>
      <c r="F41" s="89">
        <v>10919</v>
      </c>
      <c r="G41" s="1" t="s">
        <v>77</v>
      </c>
    </row>
    <row r="42" hidden="1" spans="1:9">
      <c r="A42" s="1">
        <v>2023</v>
      </c>
      <c r="B42" s="1" t="s">
        <v>72</v>
      </c>
      <c r="C42" s="1" t="s">
        <v>78</v>
      </c>
      <c r="D42" s="1" t="s">
        <v>84</v>
      </c>
      <c r="E42" s="1" t="s">
        <v>85</v>
      </c>
      <c r="F42" s="89">
        <v>11844</v>
      </c>
      <c r="G42" s="1" t="s">
        <v>77</v>
      </c>
    </row>
    <row r="43" hidden="1" spans="1:9">
      <c r="A43" s="1">
        <v>2024</v>
      </c>
      <c r="B43" s="1" t="s">
        <v>72</v>
      </c>
      <c r="C43" s="1" t="s">
        <v>78</v>
      </c>
      <c r="D43" s="1" t="s">
        <v>84</v>
      </c>
      <c r="E43" s="1" t="s">
        <v>85</v>
      </c>
      <c r="F43" s="89">
        <v>12588</v>
      </c>
      <c r="G43" s="1" t="s">
        <v>77</v>
      </c>
    </row>
    <row r="44" hidden="1" spans="1:9">
      <c r="A44" s="1">
        <v>2022</v>
      </c>
      <c r="B44" s="1" t="s">
        <v>73</v>
      </c>
      <c r="C44" s="1" t="s">
        <v>79</v>
      </c>
      <c r="D44" s="1" t="s">
        <v>84</v>
      </c>
      <c r="E44" s="1" t="s">
        <v>85</v>
      </c>
      <c r="F44" s="89">
        <v>4552</v>
      </c>
      <c r="G44" s="1" t="s">
        <v>77</v>
      </c>
    </row>
    <row r="45" hidden="1" spans="1:9">
      <c r="A45" s="1">
        <v>2023</v>
      </c>
      <c r="B45" s="1" t="s">
        <v>73</v>
      </c>
      <c r="C45" s="1" t="s">
        <v>79</v>
      </c>
      <c r="D45" s="1" t="s">
        <v>84</v>
      </c>
      <c r="E45" s="1" t="s">
        <v>85</v>
      </c>
      <c r="F45" s="89">
        <v>4920</v>
      </c>
      <c r="G45" s="1" t="s">
        <v>77</v>
      </c>
    </row>
    <row r="46" hidden="1" spans="1:9">
      <c r="A46" s="90">
        <v>2024</v>
      </c>
      <c r="B46" s="90" t="s">
        <v>73</v>
      </c>
      <c r="C46" s="90" t="s">
        <v>79</v>
      </c>
      <c r="D46" s="90" t="s">
        <v>84</v>
      </c>
      <c r="E46" s="90" t="s">
        <v>85</v>
      </c>
      <c r="F46" s="91">
        <v>5262</v>
      </c>
      <c r="G46" s="90" t="s">
        <v>77</v>
      </c>
    </row>
    <row r="47" ht="16.5" spans="1:9">
      <c r="A47" s="10"/>
      <c r="B47" s="10"/>
      <c r="C47" s="10"/>
      <c r="D47" s="10"/>
      <c r="E47" s="10"/>
      <c r="F47" s="10"/>
      <c r="G47" s="10"/>
      <c r="H47" s="17"/>
      <c r="I47" s="17"/>
    </row>
    <row r="48" ht="16.5" spans="1:9">
      <c r="A48" s="10"/>
      <c r="B48" s="10"/>
      <c r="C48" s="10"/>
      <c r="D48" s="10"/>
      <c r="E48" s="10"/>
      <c r="F48" s="10"/>
      <c r="G48" s="10"/>
      <c r="H48" s="17"/>
      <c r="I48" s="17"/>
    </row>
  </sheetData>
  <autoFilter xmlns:etc="http://www.wps.cn/officeDocument/2017/etCustomData" ref="A1:G46" etc:filterBottomFollowUsedRange="0">
    <filterColumn colId="4">
      <customFilters>
        <customFilter operator="equal" val="可支配收入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G22" sqref="A1:I22"/>
    </sheetView>
  </sheetViews>
  <sheetFormatPr defaultColWidth="9" defaultRowHeight="13.5"/>
  <cols>
    <col min="1" max="1" width="9.875" customWidth="1"/>
    <col min="2" max="2" width="13.5" customWidth="1"/>
    <col min="3" max="3" width="14.125" customWidth="1"/>
    <col min="4" max="4" width="15.25" customWidth="1"/>
    <col min="5" max="5" width="12.25" customWidth="1"/>
    <col min="6" max="6" width="13" customWidth="1"/>
    <col min="7" max="7" width="16.5" customWidth="1"/>
    <col min="8" max="8" width="18.75" customWidth="1"/>
    <col min="9" max="9" width="17.625" customWidth="1"/>
  </cols>
  <sheetData>
    <row r="1" ht="16.5" spans="1:9">
      <c r="A1" s="66" t="s">
        <v>62</v>
      </c>
      <c r="B1" s="67" t="s">
        <v>86</v>
      </c>
      <c r="C1" s="67" t="s">
        <v>87</v>
      </c>
      <c r="D1" s="67" t="s">
        <v>88</v>
      </c>
      <c r="E1" s="67" t="s">
        <v>89</v>
      </c>
      <c r="F1" s="67" t="s">
        <v>90</v>
      </c>
      <c r="G1" s="67" t="s">
        <v>91</v>
      </c>
      <c r="H1" s="67" t="s">
        <v>92</v>
      </c>
      <c r="I1" s="68" t="s">
        <v>93</v>
      </c>
    </row>
    <row r="2" ht="16.5" spans="1:9">
      <c r="A2" s="69">
        <v>2022</v>
      </c>
      <c r="B2" s="70">
        <v>60302</v>
      </c>
      <c r="C2" s="70">
        <v>71268</v>
      </c>
      <c r="D2" s="70">
        <v>37565</v>
      </c>
      <c r="E2" s="71">
        <f>C2-D2</f>
        <v>33703</v>
      </c>
      <c r="F2" s="72">
        <f>C2/D2</f>
        <v>1.89719153467323</v>
      </c>
      <c r="G2" s="71" t="s">
        <v>94</v>
      </c>
      <c r="H2" s="71"/>
      <c r="I2" s="73"/>
    </row>
    <row r="3" ht="16.5" spans="1:9">
      <c r="A3" s="69">
        <v>2023</v>
      </c>
      <c r="B3" s="70">
        <v>63830</v>
      </c>
      <c r="C3" s="70">
        <v>74997</v>
      </c>
      <c r="D3" s="70">
        <v>40311</v>
      </c>
      <c r="E3" s="71">
        <f>C3-D3</f>
        <v>34686</v>
      </c>
      <c r="F3" s="72">
        <f>C3/D3</f>
        <v>1.8604599240902</v>
      </c>
      <c r="G3" s="74">
        <f t="shared" ref="G3:I4" si="0">(B3-B2)/B2</f>
        <v>0.058505522204902</v>
      </c>
      <c r="H3" s="74">
        <f t="shared" si="0"/>
        <v>0.0523236235056407</v>
      </c>
      <c r="I3" s="75">
        <f t="shared" si="0"/>
        <v>0.0730999600692134</v>
      </c>
    </row>
    <row r="4" ht="17.25" spans="1:9">
      <c r="A4" s="76">
        <v>2024</v>
      </c>
      <c r="B4" s="77">
        <v>67013</v>
      </c>
      <c r="C4" s="77">
        <v>78251</v>
      </c>
      <c r="D4" s="77">
        <v>42786</v>
      </c>
      <c r="E4" s="78">
        <f>C4-D4</f>
        <v>35465</v>
      </c>
      <c r="F4" s="79">
        <f>C4/D4</f>
        <v>1.82889262842986</v>
      </c>
      <c r="G4" s="80">
        <f t="shared" si="0"/>
        <v>0.0498668337772207</v>
      </c>
      <c r="H4" s="80">
        <f t="shared" si="0"/>
        <v>0.0433884022027548</v>
      </c>
      <c r="I4" s="81">
        <f t="shared" si="0"/>
        <v>0.0613976334003126</v>
      </c>
    </row>
    <row r="5" ht="16.5" spans="1:9">
      <c r="A5" s="10"/>
      <c r="B5" s="17"/>
      <c r="C5" s="17"/>
      <c r="D5" s="17"/>
      <c r="E5" s="17"/>
      <c r="F5" s="17"/>
      <c r="G5" s="17"/>
      <c r="H5" s="17"/>
      <c r="I5" s="17"/>
    </row>
    <row r="6" ht="16.5" spans="1:9">
      <c r="A6" s="10"/>
      <c r="B6" s="17"/>
      <c r="C6" s="17"/>
      <c r="D6" s="17"/>
      <c r="E6" s="17"/>
      <c r="F6" s="17"/>
      <c r="G6" s="17"/>
      <c r="H6" s="17"/>
      <c r="I6" s="17"/>
    </row>
    <row r="7" ht="16.5" spans="1:9">
      <c r="A7" s="10"/>
      <c r="B7" s="17"/>
      <c r="C7" s="17"/>
      <c r="D7" s="17"/>
      <c r="E7" s="17"/>
      <c r="F7" s="17"/>
      <c r="G7" s="17"/>
      <c r="H7" s="17"/>
      <c r="I7" s="17"/>
    </row>
    <row r="8" ht="16.5" spans="1:9">
      <c r="A8" s="10"/>
      <c r="B8" s="17"/>
      <c r="C8" s="17"/>
      <c r="D8" s="17"/>
      <c r="E8" s="17"/>
      <c r="F8" s="17"/>
      <c r="G8" s="17"/>
      <c r="H8" s="17"/>
      <c r="I8" s="17"/>
    </row>
    <row r="9" ht="16.5" spans="1:9">
      <c r="A9" s="82" t="s">
        <v>95</v>
      </c>
      <c r="B9" s="83"/>
      <c r="C9" s="82" t="s">
        <v>96</v>
      </c>
      <c r="D9" s="82"/>
      <c r="E9" s="82"/>
      <c r="F9" s="82"/>
      <c r="G9" s="82"/>
      <c r="H9" s="17"/>
      <c r="I9" s="17"/>
    </row>
    <row r="10" ht="16.5" spans="1:9">
      <c r="A10" s="71" t="s">
        <v>89</v>
      </c>
      <c r="B10" s="71"/>
      <c r="C10" s="71" t="s">
        <v>97</v>
      </c>
      <c r="D10" s="71"/>
      <c r="E10" s="71"/>
      <c r="F10" s="71"/>
      <c r="G10" s="71"/>
      <c r="H10" s="17"/>
      <c r="I10" s="17"/>
    </row>
    <row r="11" ht="16.5" spans="1:9">
      <c r="A11" s="71" t="s">
        <v>90</v>
      </c>
      <c r="B11" s="71"/>
      <c r="C11" s="71" t="s">
        <v>98</v>
      </c>
      <c r="D11" s="71"/>
      <c r="E11" s="71"/>
      <c r="F11" s="71"/>
      <c r="G11" s="71"/>
      <c r="H11" s="17"/>
      <c r="I11" s="17"/>
    </row>
    <row r="12" ht="16.5" spans="1:9">
      <c r="A12" s="71" t="s">
        <v>91</v>
      </c>
      <c r="B12" s="71"/>
      <c r="C12" s="71" t="s">
        <v>99</v>
      </c>
      <c r="D12" s="71"/>
      <c r="E12" s="71"/>
      <c r="F12" s="71"/>
      <c r="G12" s="71"/>
      <c r="H12" s="17"/>
      <c r="I12" s="17"/>
    </row>
    <row r="13" ht="16.5" spans="1:9">
      <c r="A13" s="71" t="s">
        <v>92</v>
      </c>
      <c r="B13" s="71"/>
      <c r="C13" s="71" t="s">
        <v>100</v>
      </c>
      <c r="D13" s="71"/>
      <c r="E13" s="71"/>
      <c r="F13" s="71"/>
      <c r="G13" s="71"/>
      <c r="H13" s="17"/>
      <c r="I13" s="17"/>
    </row>
    <row r="14" ht="16.5" spans="1:9">
      <c r="A14" s="71" t="s">
        <v>93</v>
      </c>
      <c r="B14" s="71"/>
      <c r="C14" s="71" t="s">
        <v>101</v>
      </c>
      <c r="D14" s="71"/>
      <c r="E14" s="71"/>
      <c r="F14" s="71"/>
      <c r="G14" s="71"/>
      <c r="H14" s="17"/>
      <c r="I14" s="17"/>
    </row>
    <row r="15" ht="16.5" spans="1:9">
      <c r="A15" s="17"/>
      <c r="B15" s="17"/>
      <c r="C15" s="17"/>
      <c r="D15" s="17"/>
      <c r="E15" s="17"/>
      <c r="F15" s="17"/>
      <c r="G15" s="17"/>
      <c r="H15" s="17"/>
      <c r="I15" s="17"/>
    </row>
    <row r="16" ht="16.5" spans="1:9">
      <c r="A16" s="84" t="s">
        <v>102</v>
      </c>
      <c r="B16" s="84"/>
      <c r="C16" s="84"/>
      <c r="D16" s="84"/>
      <c r="E16" s="84"/>
      <c r="F16" s="84"/>
      <c r="G16" s="17"/>
      <c r="H16" s="17"/>
      <c r="I16" s="17"/>
    </row>
    <row r="17" ht="16.5" spans="1:9">
      <c r="A17" s="85" t="s">
        <v>103</v>
      </c>
      <c r="B17" s="86"/>
      <c r="C17" s="86"/>
      <c r="D17" s="86"/>
      <c r="E17" s="86"/>
      <c r="F17" s="86"/>
      <c r="G17" s="17"/>
      <c r="H17" s="17"/>
      <c r="I17" s="17"/>
    </row>
    <row r="18" ht="16.5" spans="1:9">
      <c r="A18" s="86"/>
      <c r="B18" s="86"/>
      <c r="C18" s="86"/>
      <c r="D18" s="86"/>
      <c r="E18" s="86"/>
      <c r="F18" s="86"/>
      <c r="G18" s="17"/>
      <c r="H18" s="17"/>
      <c r="I18" s="17"/>
    </row>
    <row r="19" ht="16.5" spans="1:9">
      <c r="A19" s="86"/>
      <c r="B19" s="86"/>
      <c r="C19" s="86"/>
      <c r="D19" s="86"/>
      <c r="E19" s="86"/>
      <c r="F19" s="86"/>
      <c r="G19" s="17"/>
      <c r="H19" s="17"/>
      <c r="I19" s="17"/>
    </row>
    <row r="20" ht="16.5" spans="1:9">
      <c r="A20" s="86"/>
      <c r="B20" s="86"/>
      <c r="C20" s="86"/>
      <c r="D20" s="86"/>
      <c r="E20" s="86"/>
      <c r="F20" s="86"/>
      <c r="G20" s="17"/>
      <c r="H20" s="17"/>
      <c r="I20" s="17"/>
    </row>
    <row r="21" ht="16.5" spans="1:9">
      <c r="A21" s="17"/>
      <c r="B21" s="17"/>
      <c r="C21" s="17"/>
      <c r="D21" s="17"/>
      <c r="E21" s="17"/>
      <c r="F21" s="17"/>
      <c r="G21" s="17"/>
      <c r="H21" s="17"/>
      <c r="I21" s="17"/>
    </row>
    <row r="22" ht="16.5" spans="1:9">
      <c r="A22" s="17"/>
      <c r="B22" s="17"/>
      <c r="C22" s="17"/>
      <c r="D22" s="17"/>
      <c r="E22" s="17"/>
      <c r="F22" s="17"/>
      <c r="G22" s="17"/>
      <c r="H22" s="17"/>
      <c r="I22" s="17"/>
    </row>
  </sheetData>
  <mergeCells count="15">
    <mergeCell ref="G2:I2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6:F16"/>
    <mergeCell ref="A17:F20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workbookViewId="0">
      <selection activeCell="D38" sqref="D38"/>
    </sheetView>
  </sheetViews>
  <sheetFormatPr defaultColWidth="9" defaultRowHeight="13.5" outlineLevelCol="5"/>
  <cols>
    <col min="1" max="1" width="10.375" customWidth="1"/>
    <col min="2" max="2" width="23.25" customWidth="1"/>
    <col min="3" max="3" width="20.5" customWidth="1"/>
    <col min="4" max="4" width="17.75" customWidth="1"/>
    <col min="5" max="5" width="23.125" customWidth="1"/>
    <col min="6" max="6" width="12.625"/>
  </cols>
  <sheetData>
    <row r="1" ht="21.95" customHeight="1" spans="1:6">
      <c r="A1" s="50" t="s">
        <v>62</v>
      </c>
      <c r="B1" s="51" t="s">
        <v>63</v>
      </c>
      <c r="C1" s="51" t="s">
        <v>66</v>
      </c>
      <c r="D1" s="51" t="s">
        <v>67</v>
      </c>
      <c r="E1" s="51" t="s">
        <v>70</v>
      </c>
      <c r="F1" s="52" t="s">
        <v>104</v>
      </c>
    </row>
    <row r="2" ht="16.5" spans="1:6">
      <c r="A2" s="18">
        <v>2022</v>
      </c>
      <c r="B2" s="53" t="s">
        <v>105</v>
      </c>
      <c r="C2" s="19" t="s">
        <v>8</v>
      </c>
      <c r="D2" s="20">
        <v>34177</v>
      </c>
      <c r="E2" s="20">
        <v>60302</v>
      </c>
      <c r="F2" s="54">
        <f>D2/E$2</f>
        <v>0.566763954761036</v>
      </c>
    </row>
    <row r="3" ht="16.5" spans="1:6">
      <c r="A3" s="18"/>
      <c r="B3" s="19"/>
      <c r="C3" s="19" t="s">
        <v>12</v>
      </c>
      <c r="D3" s="20">
        <v>9880</v>
      </c>
      <c r="E3" s="20"/>
      <c r="F3" s="54">
        <f>D3/E$2</f>
        <v>0.163841995290372</v>
      </c>
    </row>
    <row r="4" ht="16.5" spans="1:6">
      <c r="A4" s="18"/>
      <c r="B4" s="19"/>
      <c r="C4" s="19" t="s">
        <v>16</v>
      </c>
      <c r="D4" s="20">
        <v>7397</v>
      </c>
      <c r="E4" s="20"/>
      <c r="F4" s="54">
        <f>D4/E$2</f>
        <v>0.122665914895028</v>
      </c>
    </row>
    <row r="5" ht="16.5" spans="1:6">
      <c r="A5" s="55"/>
      <c r="B5" s="19"/>
      <c r="C5" s="32" t="s">
        <v>25</v>
      </c>
      <c r="D5" s="56">
        <v>8848</v>
      </c>
      <c r="E5" s="56"/>
      <c r="F5" s="57">
        <f>D5/E$2</f>
        <v>0.146728135053564</v>
      </c>
    </row>
    <row r="6" ht="16.5" spans="1:6">
      <c r="A6" s="18">
        <v>2023</v>
      </c>
      <c r="B6" s="19"/>
      <c r="C6" s="19" t="s">
        <v>8</v>
      </c>
      <c r="D6" s="20">
        <v>35769</v>
      </c>
      <c r="E6" s="19">
        <v>63830</v>
      </c>
      <c r="F6" s="54">
        <f>D6/E$6</f>
        <v>0.56037913206956</v>
      </c>
    </row>
    <row r="7" ht="16.5" spans="1:6">
      <c r="A7" s="18"/>
      <c r="B7" s="19"/>
      <c r="C7" s="19" t="s">
        <v>12</v>
      </c>
      <c r="D7" s="20">
        <v>10664</v>
      </c>
      <c r="E7" s="19"/>
      <c r="F7" s="54">
        <f>D7/E$6</f>
        <v>0.167068776437412</v>
      </c>
    </row>
    <row r="8" ht="16.5" spans="1:6">
      <c r="A8" s="18"/>
      <c r="B8" s="19"/>
      <c r="C8" s="19" t="s">
        <v>16</v>
      </c>
      <c r="D8" s="20">
        <v>7783</v>
      </c>
      <c r="E8" s="19"/>
      <c r="F8" s="54">
        <f>D8/E$6</f>
        <v>0.121933260222466</v>
      </c>
    </row>
    <row r="9" ht="16.5" spans="1:6">
      <c r="A9" s="55"/>
      <c r="B9" s="19"/>
      <c r="C9" s="32" t="s">
        <v>25</v>
      </c>
      <c r="D9" s="56">
        <v>9615</v>
      </c>
      <c r="E9" s="32"/>
      <c r="F9" s="57">
        <f>D9/E$6</f>
        <v>0.150634497885007</v>
      </c>
    </row>
    <row r="10" ht="16.5" spans="1:6">
      <c r="A10" s="18">
        <v>2024</v>
      </c>
      <c r="B10" s="19"/>
      <c r="C10" s="19" t="s">
        <v>8</v>
      </c>
      <c r="D10" s="20">
        <v>37220</v>
      </c>
      <c r="E10" s="19">
        <v>67013</v>
      </c>
      <c r="F10" s="54">
        <f>D10/E$10</f>
        <v>0.555414621043678</v>
      </c>
    </row>
    <row r="11" ht="16.5" spans="1:6">
      <c r="A11" s="18"/>
      <c r="B11" s="19"/>
      <c r="C11" s="19" t="s">
        <v>12</v>
      </c>
      <c r="D11" s="20">
        <v>11423</v>
      </c>
      <c r="E11" s="19"/>
      <c r="F11" s="54">
        <f>D11/E$10</f>
        <v>0.170459463089251</v>
      </c>
    </row>
    <row r="12" ht="16.5" spans="1:6">
      <c r="A12" s="18"/>
      <c r="B12" s="19"/>
      <c r="C12" s="19" t="s">
        <v>16</v>
      </c>
      <c r="D12" s="20">
        <v>8103</v>
      </c>
      <c r="E12" s="19"/>
      <c r="F12" s="54">
        <f>D12/E$10</f>
        <v>0.120916837031621</v>
      </c>
    </row>
    <row r="13" ht="17.25" spans="1:6">
      <c r="A13" s="22"/>
      <c r="B13" s="23"/>
      <c r="C13" s="23" t="s">
        <v>25</v>
      </c>
      <c r="D13" s="24">
        <v>10266</v>
      </c>
      <c r="E13" s="23"/>
      <c r="F13" s="58">
        <f>D13/E$10</f>
        <v>0.153194156357722</v>
      </c>
    </row>
    <row r="14" ht="16.5" spans="1:6">
      <c r="A14" s="59">
        <v>2022</v>
      </c>
      <c r="B14" s="60" t="s">
        <v>106</v>
      </c>
      <c r="C14" s="60" t="s">
        <v>8</v>
      </c>
      <c r="D14" s="61">
        <v>39718</v>
      </c>
      <c r="E14" s="61">
        <v>71268</v>
      </c>
      <c r="F14" s="62">
        <f>D14/$E$14</f>
        <v>0.557304821238143</v>
      </c>
    </row>
    <row r="15" ht="16.5" spans="1:6">
      <c r="A15" s="18"/>
      <c r="B15" s="19"/>
      <c r="C15" s="19" t="s">
        <v>12</v>
      </c>
      <c r="D15" s="20">
        <v>10233</v>
      </c>
      <c r="E15" s="20"/>
      <c r="F15" s="54">
        <f>D15/$E$14</f>
        <v>0.143584778582253</v>
      </c>
    </row>
    <row r="16" ht="16.5" spans="1:6">
      <c r="A16" s="18"/>
      <c r="B16" s="19"/>
      <c r="C16" s="19" t="s">
        <v>16</v>
      </c>
      <c r="D16" s="20">
        <v>10397</v>
      </c>
      <c r="E16" s="20"/>
      <c r="F16" s="54">
        <f>D16/$E$14</f>
        <v>0.14588595161924</v>
      </c>
    </row>
    <row r="17" ht="16.5" spans="1:6">
      <c r="A17" s="55"/>
      <c r="B17" s="19"/>
      <c r="C17" s="32" t="s">
        <v>25</v>
      </c>
      <c r="D17" s="56">
        <v>10919</v>
      </c>
      <c r="E17" s="56"/>
      <c r="F17" s="57">
        <f>D17/$E$14</f>
        <v>0.153210417017455</v>
      </c>
    </row>
    <row r="18" ht="16.5" spans="1:6">
      <c r="A18" s="18">
        <v>2023</v>
      </c>
      <c r="B18" s="19"/>
      <c r="C18" s="19" t="s">
        <v>8</v>
      </c>
      <c r="D18" s="20">
        <v>41439</v>
      </c>
      <c r="E18" s="19">
        <v>74997</v>
      </c>
      <c r="F18" s="54">
        <f>D18/E$18</f>
        <v>0.552542101684067</v>
      </c>
    </row>
    <row r="19" ht="16.5" spans="1:6">
      <c r="A19" s="18"/>
      <c r="B19" s="19"/>
      <c r="C19" s="19" t="s">
        <v>12</v>
      </c>
      <c r="D19" s="20">
        <v>10833</v>
      </c>
      <c r="E19" s="19"/>
      <c r="F19" s="54">
        <f>D19/E$18</f>
        <v>0.144445777831113</v>
      </c>
    </row>
    <row r="20" ht="16.5" spans="1:6">
      <c r="A20" s="18"/>
      <c r="B20" s="19"/>
      <c r="C20" s="19" t="s">
        <v>16</v>
      </c>
      <c r="D20" s="20">
        <v>10880</v>
      </c>
      <c r="E20" s="19"/>
      <c r="F20" s="54">
        <f>D20/E$18</f>
        <v>0.145072469565449</v>
      </c>
    </row>
    <row r="21" ht="16.5" spans="1:6">
      <c r="A21" s="55"/>
      <c r="B21" s="19"/>
      <c r="C21" s="32" t="s">
        <v>25</v>
      </c>
      <c r="D21" s="56">
        <v>11844</v>
      </c>
      <c r="E21" s="32"/>
      <c r="F21" s="57">
        <f>D21/E$18</f>
        <v>0.157926317052682</v>
      </c>
    </row>
    <row r="22" ht="16.5" spans="1:6">
      <c r="A22" s="18">
        <v>2024</v>
      </c>
      <c r="B22" s="19"/>
      <c r="C22" s="19" t="s">
        <v>8</v>
      </c>
      <c r="D22" s="20">
        <v>42845</v>
      </c>
      <c r="E22" s="19">
        <v>78251</v>
      </c>
      <c r="F22" s="54">
        <f>D22/E$22</f>
        <v>0.54753293887618</v>
      </c>
    </row>
    <row r="23" ht="16.5" spans="1:6">
      <c r="A23" s="18"/>
      <c r="B23" s="19"/>
      <c r="C23" s="19" t="s">
        <v>12</v>
      </c>
      <c r="D23" s="20">
        <v>11566</v>
      </c>
      <c r="E23" s="19"/>
      <c r="F23" s="54">
        <f>D23/E$22</f>
        <v>0.147806417809357</v>
      </c>
    </row>
    <row r="24" ht="16.5" spans="1:6">
      <c r="A24" s="18"/>
      <c r="B24" s="19"/>
      <c r="C24" s="19" t="s">
        <v>16</v>
      </c>
      <c r="D24" s="20">
        <v>11252</v>
      </c>
      <c r="E24" s="19"/>
      <c r="F24" s="54">
        <f>D24/E$22</f>
        <v>0.143793689537514</v>
      </c>
    </row>
    <row r="25" ht="17.25" spans="1:6">
      <c r="A25" s="18"/>
      <c r="B25" s="19"/>
      <c r="C25" s="19" t="s">
        <v>25</v>
      </c>
      <c r="D25" s="20">
        <v>12588</v>
      </c>
      <c r="E25" s="19"/>
      <c r="F25" s="54">
        <f>D25/E$22</f>
        <v>0.160866953776949</v>
      </c>
    </row>
    <row r="26" ht="16.5" spans="1:6">
      <c r="A26" s="59">
        <v>2022</v>
      </c>
      <c r="B26" s="60" t="s">
        <v>107</v>
      </c>
      <c r="C26" s="60" t="s">
        <v>8</v>
      </c>
      <c r="D26" s="61">
        <v>22687</v>
      </c>
      <c r="E26" s="61">
        <v>37565</v>
      </c>
      <c r="F26" s="63">
        <f>D26/E$26</f>
        <v>0.603939837614801</v>
      </c>
    </row>
    <row r="27" ht="16.5" spans="1:6">
      <c r="A27" s="18"/>
      <c r="B27" s="19"/>
      <c r="C27" s="19" t="s">
        <v>12</v>
      </c>
      <c r="D27" s="20">
        <v>9149</v>
      </c>
      <c r="E27" s="20"/>
      <c r="F27" s="64">
        <f>D27/E$26</f>
        <v>0.243551177958206</v>
      </c>
    </row>
    <row r="28" ht="16.5" spans="1:6">
      <c r="A28" s="18"/>
      <c r="B28" s="19"/>
      <c r="C28" s="19" t="s">
        <v>16</v>
      </c>
      <c r="D28" s="20">
        <v>1177</v>
      </c>
      <c r="E28" s="20"/>
      <c r="F28" s="64">
        <f>D28/E$26</f>
        <v>0.0313323572474378</v>
      </c>
    </row>
    <row r="29" ht="16.5" spans="1:6">
      <c r="A29" s="55"/>
      <c r="B29" s="19"/>
      <c r="C29" s="32" t="s">
        <v>25</v>
      </c>
      <c r="D29" s="56">
        <v>4552</v>
      </c>
      <c r="E29" s="56"/>
      <c r="F29" s="65">
        <f>D29/E$26</f>
        <v>0.121176627179555</v>
      </c>
    </row>
    <row r="30" ht="16.5" spans="1:6">
      <c r="A30" s="18">
        <v>2023</v>
      </c>
      <c r="B30" s="19"/>
      <c r="C30" s="19" t="s">
        <v>8</v>
      </c>
      <c r="D30" s="20">
        <v>23825</v>
      </c>
      <c r="E30" s="19">
        <v>40311</v>
      </c>
      <c r="F30" s="54">
        <f>D30/E$30</f>
        <v>0.591029743742403</v>
      </c>
    </row>
    <row r="31" ht="16.5" spans="1:6">
      <c r="A31" s="18"/>
      <c r="B31" s="19"/>
      <c r="C31" s="19" t="s">
        <v>12</v>
      </c>
      <c r="D31" s="20">
        <v>10307</v>
      </c>
      <c r="E31" s="19"/>
      <c r="F31" s="54">
        <f>D31/E$30</f>
        <v>0.255687033315968</v>
      </c>
    </row>
    <row r="32" ht="16.5" spans="1:6">
      <c r="A32" s="18"/>
      <c r="B32" s="19"/>
      <c r="C32" s="19" t="s">
        <v>16</v>
      </c>
      <c r="D32" s="20">
        <v>1259</v>
      </c>
      <c r="E32" s="19"/>
      <c r="F32" s="54">
        <f>D32/E$30</f>
        <v>0.0312321698791893</v>
      </c>
    </row>
    <row r="33" ht="16.5" spans="1:6">
      <c r="A33" s="55"/>
      <c r="B33" s="19"/>
      <c r="C33" s="32" t="s">
        <v>25</v>
      </c>
      <c r="D33" s="56">
        <v>4920</v>
      </c>
      <c r="E33" s="32"/>
      <c r="F33" s="57">
        <f>D33/E$30</f>
        <v>0.12205105306244</v>
      </c>
    </row>
    <row r="34" ht="16.5" spans="1:6">
      <c r="A34" s="18">
        <v>2024</v>
      </c>
      <c r="B34" s="19"/>
      <c r="C34" s="19" t="s">
        <v>8</v>
      </c>
      <c r="D34" s="20">
        <v>25094</v>
      </c>
      <c r="E34" s="19">
        <v>42786</v>
      </c>
      <c r="F34" s="54">
        <f>D34/E$34</f>
        <v>0.586500257093442</v>
      </c>
    </row>
    <row r="35" ht="16.5" spans="1:6">
      <c r="A35" s="18"/>
      <c r="B35" s="19"/>
      <c r="C35" s="19" t="s">
        <v>12</v>
      </c>
      <c r="D35" s="20">
        <v>11115</v>
      </c>
      <c r="E35" s="19"/>
      <c r="F35" s="54">
        <f>D35/E$34</f>
        <v>0.259781236853176</v>
      </c>
    </row>
    <row r="36" ht="16.5" spans="1:6">
      <c r="A36" s="18"/>
      <c r="B36" s="19"/>
      <c r="C36" s="19" t="s">
        <v>16</v>
      </c>
      <c r="D36" s="20">
        <v>1316</v>
      </c>
      <c r="E36" s="19"/>
      <c r="F36" s="54">
        <f>D36/E$34</f>
        <v>0.0307577244893189</v>
      </c>
    </row>
    <row r="37" ht="17.25" spans="1:6">
      <c r="A37" s="22"/>
      <c r="B37" s="23"/>
      <c r="C37" s="23" t="s">
        <v>25</v>
      </c>
      <c r="D37" s="24">
        <v>5262</v>
      </c>
      <c r="E37" s="23"/>
      <c r="F37" s="58">
        <f>D37/E$34</f>
        <v>0.122984153695134</v>
      </c>
    </row>
  </sheetData>
  <mergeCells count="21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B2:B13"/>
    <mergeCell ref="B14:B25"/>
    <mergeCell ref="B26:B37"/>
    <mergeCell ref="E2:E5"/>
    <mergeCell ref="E6:E9"/>
    <mergeCell ref="E10:E13"/>
    <mergeCell ref="E14:E17"/>
    <mergeCell ref="E18:E21"/>
    <mergeCell ref="E22:E25"/>
    <mergeCell ref="E26:E29"/>
    <mergeCell ref="E30:E33"/>
    <mergeCell ref="E34:E37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D28" sqref="D28"/>
    </sheetView>
  </sheetViews>
  <sheetFormatPr defaultColWidth="9" defaultRowHeight="13.5" outlineLevelCol="6"/>
  <cols>
    <col min="1" max="1" width="19.75" customWidth="1"/>
    <col min="2" max="2" width="17.375" customWidth="1"/>
    <col min="3" max="3" width="27.75" customWidth="1"/>
    <col min="4" max="4" width="27.875" customWidth="1"/>
    <col min="5" max="5" width="15" customWidth="1"/>
    <col min="6" max="6" width="27.75" customWidth="1"/>
  </cols>
  <sheetData>
    <row r="1" ht="26.1" customHeight="1" spans="1:7">
      <c r="A1" s="14" t="s">
        <v>62</v>
      </c>
      <c r="B1" s="15" t="s">
        <v>63</v>
      </c>
      <c r="C1" s="15" t="s">
        <v>70</v>
      </c>
      <c r="D1" s="15" t="s">
        <v>108</v>
      </c>
      <c r="E1" s="15" t="s">
        <v>109</v>
      </c>
      <c r="F1" s="16" t="s">
        <v>110</v>
      </c>
      <c r="G1" s="17"/>
    </row>
    <row r="2" ht="16.5" spans="1:7">
      <c r="A2" s="18">
        <v>2022</v>
      </c>
      <c r="B2" s="19" t="s">
        <v>4</v>
      </c>
      <c r="C2" s="20">
        <v>60302</v>
      </c>
      <c r="D2" s="20">
        <v>38971</v>
      </c>
      <c r="E2" s="19">
        <f>C2-D2</f>
        <v>21331</v>
      </c>
      <c r="F2" s="21">
        <f>D2/C2</f>
        <v>0.646263805512255</v>
      </c>
      <c r="G2" s="17"/>
    </row>
    <row r="3" ht="16.5" spans="1:7">
      <c r="A3" s="18">
        <v>2023</v>
      </c>
      <c r="B3" s="19" t="s">
        <v>4</v>
      </c>
      <c r="C3" s="20">
        <v>63830</v>
      </c>
      <c r="D3" s="20">
        <v>42194</v>
      </c>
      <c r="E3" s="19">
        <f t="shared" ref="E3:E10" si="0">C3-D3</f>
        <v>21636</v>
      </c>
      <c r="F3" s="21">
        <f t="shared" ref="F3:F10" si="1">D3/C3</f>
        <v>0.661037129876234</v>
      </c>
      <c r="G3" s="17"/>
    </row>
    <row r="4" ht="16.5" spans="1:7">
      <c r="A4" s="18">
        <v>2024</v>
      </c>
      <c r="B4" s="19" t="s">
        <v>4</v>
      </c>
      <c r="C4" s="20">
        <v>67013</v>
      </c>
      <c r="D4" s="20">
        <v>45107</v>
      </c>
      <c r="E4" s="19">
        <f t="shared" si="0"/>
        <v>21906</v>
      </c>
      <c r="F4" s="21">
        <f t="shared" si="1"/>
        <v>0.673108202886007</v>
      </c>
      <c r="G4" s="17"/>
    </row>
    <row r="5" ht="16.5" spans="1:7">
      <c r="A5" s="18">
        <v>2022</v>
      </c>
      <c r="B5" s="19" t="s">
        <v>5</v>
      </c>
      <c r="C5" s="20">
        <v>71268</v>
      </c>
      <c r="D5" s="20">
        <v>44511</v>
      </c>
      <c r="E5" s="19">
        <f t="shared" si="0"/>
        <v>26757</v>
      </c>
      <c r="F5" s="21">
        <f t="shared" si="1"/>
        <v>0.624558006398384</v>
      </c>
      <c r="G5" s="17"/>
    </row>
    <row r="6" ht="16.5" spans="1:7">
      <c r="A6" s="18">
        <v>2023</v>
      </c>
      <c r="B6" s="19" t="s">
        <v>5</v>
      </c>
      <c r="C6" s="20">
        <v>74997</v>
      </c>
      <c r="D6" s="20">
        <v>47762</v>
      </c>
      <c r="E6" s="19">
        <f t="shared" si="0"/>
        <v>27235</v>
      </c>
      <c r="F6" s="21">
        <f t="shared" si="1"/>
        <v>0.636852140752297</v>
      </c>
      <c r="G6" s="17"/>
    </row>
    <row r="7" ht="16.5" spans="1:7">
      <c r="A7" s="18">
        <v>2024</v>
      </c>
      <c r="B7" s="19" t="s">
        <v>5</v>
      </c>
      <c r="C7" s="20">
        <v>78251</v>
      </c>
      <c r="D7" s="20">
        <v>50704</v>
      </c>
      <c r="E7" s="19">
        <f t="shared" si="0"/>
        <v>27547</v>
      </c>
      <c r="F7" s="21">
        <f t="shared" si="1"/>
        <v>0.647966160176867</v>
      </c>
      <c r="G7" s="17"/>
    </row>
    <row r="8" ht="16.5" spans="1:7">
      <c r="A8" s="18">
        <v>2022</v>
      </c>
      <c r="B8" s="19" t="s">
        <v>6</v>
      </c>
      <c r="C8" s="20">
        <v>37565</v>
      </c>
      <c r="D8" s="20">
        <v>27483</v>
      </c>
      <c r="E8" s="19">
        <f t="shared" si="0"/>
        <v>10082</v>
      </c>
      <c r="F8" s="21">
        <f t="shared" si="1"/>
        <v>0.731611872753893</v>
      </c>
      <c r="G8" s="17"/>
    </row>
    <row r="9" ht="16.5" spans="1:7">
      <c r="A9" s="18">
        <v>2023</v>
      </c>
      <c r="B9" s="19" t="s">
        <v>6</v>
      </c>
      <c r="C9" s="20">
        <v>40311</v>
      </c>
      <c r="D9" s="20">
        <v>30468</v>
      </c>
      <c r="E9" s="19">
        <f t="shared" si="0"/>
        <v>9843</v>
      </c>
      <c r="F9" s="21">
        <f t="shared" si="1"/>
        <v>0.755823472501302</v>
      </c>
      <c r="G9" s="17"/>
    </row>
    <row r="10" ht="17.25" spans="1:7">
      <c r="A10" s="22">
        <v>2024</v>
      </c>
      <c r="B10" s="23" t="s">
        <v>6</v>
      </c>
      <c r="C10" s="24">
        <v>42786</v>
      </c>
      <c r="D10" s="24">
        <v>33043</v>
      </c>
      <c r="E10" s="23">
        <f t="shared" si="0"/>
        <v>9743</v>
      </c>
      <c r="F10" s="25">
        <f t="shared" si="1"/>
        <v>0.772285326976114</v>
      </c>
      <c r="G10" s="17"/>
    </row>
    <row r="11" ht="16.5" spans="1:7">
      <c r="A11" s="17"/>
      <c r="B11" s="17"/>
      <c r="C11" s="17"/>
      <c r="D11" s="17"/>
      <c r="E11" s="17"/>
      <c r="F11" s="17"/>
      <c r="G11" s="17"/>
    </row>
    <row r="12" ht="16.5" spans="1:7">
      <c r="A12" s="17"/>
      <c r="B12" s="17"/>
      <c r="C12" s="17"/>
      <c r="D12" s="17"/>
      <c r="E12" s="17"/>
      <c r="F12" s="17"/>
      <c r="G12" s="17"/>
    </row>
    <row r="13" ht="17.25" spans="1:7">
      <c r="A13" s="17"/>
      <c r="B13" s="17"/>
      <c r="C13" s="17"/>
      <c r="D13" s="17"/>
      <c r="E13" s="17"/>
      <c r="F13" s="17"/>
      <c r="G13" s="17"/>
    </row>
    <row r="14" ht="16.5" spans="1:7">
      <c r="A14" s="26" t="s">
        <v>95</v>
      </c>
      <c r="B14" s="27"/>
      <c r="C14" s="28" t="s">
        <v>96</v>
      </c>
      <c r="D14" s="29"/>
      <c r="E14" s="29"/>
      <c r="F14" s="29"/>
      <c r="G14" s="30"/>
    </row>
    <row r="15" ht="16.5" spans="1:7">
      <c r="A15" s="31" t="s">
        <v>109</v>
      </c>
      <c r="B15" s="32"/>
      <c r="C15" s="33" t="s">
        <v>111</v>
      </c>
      <c r="D15" s="33"/>
      <c r="E15" s="33"/>
      <c r="F15" s="33"/>
      <c r="G15" s="34"/>
    </row>
    <row r="16" ht="17.25" spans="1:7">
      <c r="A16" s="35" t="s">
        <v>110</v>
      </c>
      <c r="B16" s="23"/>
      <c r="C16" s="36" t="s">
        <v>112</v>
      </c>
      <c r="D16" s="36"/>
      <c r="E16" s="36"/>
      <c r="F16" s="36"/>
      <c r="G16" s="37"/>
    </row>
    <row r="17" ht="17.25" spans="1:7">
      <c r="A17" s="17"/>
      <c r="B17" s="17"/>
      <c r="C17" s="17"/>
      <c r="D17" s="17"/>
      <c r="E17" s="17"/>
      <c r="F17" s="17"/>
      <c r="G17" s="17"/>
    </row>
    <row r="18" ht="16.5" spans="1:7">
      <c r="A18" s="17"/>
      <c r="B18" s="38" t="s">
        <v>113</v>
      </c>
      <c r="C18" s="39"/>
      <c r="D18" s="39"/>
      <c r="E18" s="40"/>
      <c r="F18" s="17"/>
      <c r="G18" s="17"/>
    </row>
    <row r="19" ht="16.5" spans="1:7">
      <c r="A19" s="17"/>
      <c r="B19" s="41"/>
      <c r="C19" s="42"/>
      <c r="D19" s="42"/>
      <c r="E19" s="43"/>
      <c r="F19" s="17"/>
      <c r="G19" s="17"/>
    </row>
    <row r="20" ht="16.5" spans="1:7">
      <c r="A20" s="17"/>
      <c r="B20" s="44" t="s">
        <v>114</v>
      </c>
      <c r="C20" s="17"/>
      <c r="D20" s="17"/>
      <c r="E20" s="45"/>
      <c r="F20" s="17"/>
      <c r="G20" s="17"/>
    </row>
    <row r="21" ht="16.5" spans="1:7">
      <c r="A21" s="17"/>
      <c r="B21" s="46"/>
      <c r="C21" s="17"/>
      <c r="D21" s="17"/>
      <c r="E21" s="45"/>
      <c r="F21" s="17"/>
      <c r="G21" s="17"/>
    </row>
    <row r="22" ht="16.5" spans="1:7">
      <c r="A22" s="17"/>
      <c r="B22" s="46"/>
      <c r="C22" s="17"/>
      <c r="D22" s="17"/>
      <c r="E22" s="45"/>
      <c r="F22" s="17"/>
      <c r="G22" s="17"/>
    </row>
    <row r="23" ht="16.5" spans="1:7">
      <c r="A23" s="17"/>
      <c r="B23" s="46"/>
      <c r="C23" s="17"/>
      <c r="D23" s="17"/>
      <c r="E23" s="45"/>
      <c r="F23" s="17"/>
      <c r="G23" s="17"/>
    </row>
    <row r="24" ht="17.25" spans="1:7">
      <c r="A24" s="17"/>
      <c r="B24" s="47"/>
      <c r="C24" s="48"/>
      <c r="D24" s="48"/>
      <c r="E24" s="49"/>
      <c r="F24" s="17"/>
      <c r="G24" s="17"/>
    </row>
  </sheetData>
  <mergeCells count="8">
    <mergeCell ref="A14:B14"/>
    <mergeCell ref="C14:G14"/>
    <mergeCell ref="A15:B15"/>
    <mergeCell ref="C15:G15"/>
    <mergeCell ref="A16:B16"/>
    <mergeCell ref="C16:G16"/>
    <mergeCell ref="B18:E19"/>
    <mergeCell ref="B20:E2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2"/>
  <sheetViews>
    <sheetView topLeftCell="A14" workbookViewId="0">
      <pane xSplit="4" topLeftCell="E1" activePane="topRight" state="frozen"/>
      <selection/>
      <selection pane="topRight" activeCell="U17" sqref="U17"/>
    </sheetView>
  </sheetViews>
  <sheetFormatPr defaultColWidth="9" defaultRowHeight="15"/>
  <cols>
    <col min="1" max="1" width="20.625" style="1" customWidth="1"/>
    <col min="2" max="2" width="21.5" style="1" customWidth="1"/>
    <col min="3" max="3" width="22.25" style="1" customWidth="1"/>
    <col min="4" max="4" width="16.75" style="1" customWidth="1"/>
  </cols>
  <sheetData>
    <row r="1" ht="39.75" customHeight="1" spans="1:35">
      <c r="A1" s="2" t="s">
        <v>115</v>
      </c>
      <c r="B1" s="2" t="s">
        <v>116</v>
      </c>
      <c r="C1" s="2" t="s">
        <v>117</v>
      </c>
      <c r="D1" s="2" t="s">
        <v>118</v>
      </c>
      <c r="E1" s="3" t="s">
        <v>119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33" spans="1:35">
      <c r="A2" s="2" t="s">
        <v>120</v>
      </c>
      <c r="B2" s="5">
        <v>60302</v>
      </c>
      <c r="C2" s="5">
        <v>63830</v>
      </c>
      <c r="D2" s="2">
        <v>67013</v>
      </c>
    </row>
    <row r="3" ht="33" spans="1:35">
      <c r="A3" s="2" t="s">
        <v>121</v>
      </c>
      <c r="B3" s="5">
        <v>71268</v>
      </c>
      <c r="C3" s="5">
        <v>74997</v>
      </c>
      <c r="D3" s="2">
        <v>78251</v>
      </c>
    </row>
    <row r="4" ht="33" spans="1:35">
      <c r="A4" s="2" t="s">
        <v>122</v>
      </c>
      <c r="B4" s="5">
        <v>37565</v>
      </c>
      <c r="C4" s="5">
        <v>40311</v>
      </c>
      <c r="D4" s="2">
        <v>42786</v>
      </c>
    </row>
    <row r="5" ht="16.5" spans="1:35">
      <c r="A5" s="2" t="s">
        <v>123</v>
      </c>
      <c r="B5" s="6">
        <f>$B$3-$B$4</f>
        <v>33703</v>
      </c>
      <c r="C5" s="6">
        <f>$C$3-$C$4</f>
        <v>34686</v>
      </c>
      <c r="D5" s="2">
        <f>$D$3-$D$4</f>
        <v>35465</v>
      </c>
    </row>
    <row r="6" ht="16.5" spans="1:35">
      <c r="A6" s="2" t="s">
        <v>124</v>
      </c>
      <c r="B6" s="7">
        <f>$B$3/$B$4</f>
        <v>1.89719153467323</v>
      </c>
      <c r="C6" s="7">
        <f>$C$3/$C$4</f>
        <v>1.8604599240902</v>
      </c>
      <c r="D6" s="7">
        <f>$D$3/$D$4</f>
        <v>1.82889262842986</v>
      </c>
    </row>
    <row r="7" ht="16.5" spans="1:35">
      <c r="A7" s="2" t="s">
        <v>125</v>
      </c>
      <c r="B7" s="8">
        <v>0.646263805512255</v>
      </c>
      <c r="C7" s="8">
        <v>0.661037129876234</v>
      </c>
      <c r="D7" s="9">
        <v>0.6731</v>
      </c>
    </row>
    <row r="8" ht="16.5" spans="1:35">
      <c r="A8" s="10" t="s">
        <v>126</v>
      </c>
      <c r="B8" s="8">
        <v>0.6246</v>
      </c>
      <c r="C8" s="8">
        <v>0.6369</v>
      </c>
      <c r="D8" s="8">
        <v>0.648</v>
      </c>
    </row>
    <row r="9" ht="16.5" spans="1:35">
      <c r="A9" s="10" t="s">
        <v>127</v>
      </c>
      <c r="B9" s="8">
        <v>0.7316</v>
      </c>
      <c r="C9" s="8">
        <v>0.7558</v>
      </c>
      <c r="D9" s="9">
        <v>0.7723</v>
      </c>
    </row>
    <row r="15" spans="1:35">
      <c r="N15" s="11"/>
      <c r="O15" s="11"/>
      <c r="P15" s="11"/>
      <c r="Q15" s="11"/>
      <c r="R15" s="11"/>
      <c r="S15" s="11"/>
      <c r="T15" s="11"/>
    </row>
    <row r="16" ht="16.5" spans="1:35">
      <c r="A16" s="2" t="s">
        <v>115</v>
      </c>
      <c r="B16" s="2" t="s">
        <v>118</v>
      </c>
      <c r="C16" s="2" t="s">
        <v>128</v>
      </c>
      <c r="D16" s="2" t="s">
        <v>129</v>
      </c>
      <c r="N16" s="11"/>
      <c r="O16" s="11"/>
      <c r="P16" s="11"/>
      <c r="Q16" s="11"/>
      <c r="R16" s="11"/>
      <c r="S16" s="11"/>
      <c r="T16" s="11"/>
    </row>
    <row r="17" ht="33" spans="1:20">
      <c r="A17" s="2" t="s">
        <v>120</v>
      </c>
      <c r="B17" s="2" t="s">
        <v>130</v>
      </c>
      <c r="C17" s="12">
        <f>(D2-C2)/C2</f>
        <v>0.0498668337772207</v>
      </c>
      <c r="D17" s="10" t="s">
        <v>131</v>
      </c>
      <c r="N17" s="11"/>
      <c r="O17" s="11"/>
      <c r="P17" s="13"/>
      <c r="Q17" s="13"/>
      <c r="R17" s="13"/>
      <c r="S17" s="13"/>
      <c r="T17" s="13"/>
    </row>
    <row r="18" ht="33" spans="1:20">
      <c r="A18" s="2" t="s">
        <v>121</v>
      </c>
      <c r="B18" s="2" t="s">
        <v>132</v>
      </c>
      <c r="C18" s="12">
        <f t="shared" ref="C18:C19" si="0">(D3-C3)/C3</f>
        <v>0.0433884022027548</v>
      </c>
      <c r="D18" s="10" t="s">
        <v>133</v>
      </c>
      <c r="N18" s="11"/>
      <c r="O18" s="11"/>
      <c r="P18" s="13"/>
      <c r="Q18" s="13"/>
      <c r="R18" s="13"/>
      <c r="S18" s="13"/>
      <c r="T18" s="13"/>
    </row>
    <row r="19" ht="33" spans="1:20">
      <c r="A19" s="2" t="s">
        <v>122</v>
      </c>
      <c r="B19" s="2" t="s">
        <v>134</v>
      </c>
      <c r="C19" s="12">
        <f t="shared" si="0"/>
        <v>0.0613976334003126</v>
      </c>
      <c r="D19" s="10" t="s">
        <v>135</v>
      </c>
    </row>
    <row r="20" ht="16.5" spans="1:20">
      <c r="A20" s="2" t="s">
        <v>123</v>
      </c>
      <c r="B20" s="2">
        <f>D3-D4</f>
        <v>35465</v>
      </c>
      <c r="C20" s="12">
        <f>D5/C5-1</f>
        <v>0.0224586288416075</v>
      </c>
      <c r="D20" s="10" t="s">
        <v>136</v>
      </c>
    </row>
    <row r="21" ht="16.5" spans="1:20">
      <c r="A21" s="2" t="s">
        <v>124</v>
      </c>
      <c r="B21" s="2">
        <v>1.83</v>
      </c>
      <c r="C21" s="12">
        <f>(D6-C6)/C6</f>
        <v>-0.0169674687702695</v>
      </c>
      <c r="D21" s="10" t="s">
        <v>137</v>
      </c>
    </row>
    <row r="22" ht="16.5" spans="1:20">
      <c r="A22" s="2" t="s">
        <v>125</v>
      </c>
      <c r="B22" s="9">
        <v>0.6731</v>
      </c>
      <c r="C22" s="12">
        <f>D7-C7</f>
        <v>0.0120628701237661</v>
      </c>
      <c r="D22" s="2" t="s">
        <v>138</v>
      </c>
    </row>
    <row r="25" spans="1:20">
      <c r="B25" s="1" t="str">
        <f>"2024全体居民收入"&amp;CHAR(10)&amp;TEXT(B17,"#,##0")&amp;CHAR(10)&amp;"同比 +"&amp;TEXT(C17,"0.00%")</f>
        <v>2024全体居民收入
67013 元
同比 +4.99%</v>
      </c>
    </row>
    <row r="28" ht="16.5" spans="1:20">
      <c r="A28" s="2" t="s">
        <v>115</v>
      </c>
      <c r="B28" s="2" t="s">
        <v>116</v>
      </c>
      <c r="C28" s="2" t="s">
        <v>117</v>
      </c>
      <c r="D28" s="2" t="s">
        <v>118</v>
      </c>
    </row>
    <row r="29" ht="16.5" spans="1:20">
      <c r="A29" s="2" t="s">
        <v>123</v>
      </c>
      <c r="B29" s="6">
        <f>$B$3-$B$4</f>
        <v>33703</v>
      </c>
      <c r="C29" s="6">
        <f>$C$3-$C$4</f>
        <v>34686</v>
      </c>
      <c r="D29" s="2">
        <f>$D$3-$D$4</f>
        <v>35465</v>
      </c>
    </row>
    <row r="31" ht="16.5" spans="1:20">
      <c r="A31" s="2" t="s">
        <v>115</v>
      </c>
      <c r="B31" s="2" t="s">
        <v>116</v>
      </c>
      <c r="C31" s="2" t="s">
        <v>117</v>
      </c>
      <c r="D31" s="2" t="s">
        <v>118</v>
      </c>
    </row>
    <row r="32" ht="16.5" spans="1:20">
      <c r="A32" s="2" t="s">
        <v>124</v>
      </c>
      <c r="B32" s="7">
        <f>$B$3/$B$4</f>
        <v>1.89719153467323</v>
      </c>
      <c r="C32" s="7">
        <f>$C$3/$C$4</f>
        <v>1.8604599240902</v>
      </c>
      <c r="D32" s="7">
        <f>$D$3/$D$4</f>
        <v>1.82889262842986</v>
      </c>
      <c r="E32" s="2"/>
      <c r="F32" s="2"/>
      <c r="G32" s="2"/>
      <c r="H32" s="2"/>
      <c r="I32" s="2"/>
      <c r="J32" s="2"/>
      <c r="K32" s="2"/>
      <c r="L32" s="2"/>
      <c r="M32" s="2"/>
    </row>
    <row r="35" ht="16.5" spans="1:24">
      <c r="A35" s="10" t="s">
        <v>57</v>
      </c>
      <c r="B35" s="10" t="s">
        <v>139</v>
      </c>
      <c r="C35" s="10" t="s">
        <v>140</v>
      </c>
    </row>
    <row r="36" ht="16.5" customHeight="1" spans="1:24">
      <c r="A36" s="2" t="s">
        <v>117</v>
      </c>
      <c r="B36" s="8">
        <f>(C3-B3)/B3</f>
        <v>0.0523236235056407</v>
      </c>
      <c r="C36" s="8">
        <f>(C4-B4)/B4</f>
        <v>0.0730999600692134</v>
      </c>
      <c r="R36" s="3" t="s">
        <v>141</v>
      </c>
      <c r="S36" s="3"/>
      <c r="T36" s="3"/>
      <c r="U36" s="3"/>
      <c r="V36" s="3"/>
      <c r="W36" s="3"/>
      <c r="X36" s="3"/>
    </row>
    <row r="37" ht="16.5" spans="1:24">
      <c r="A37" s="2" t="s">
        <v>118</v>
      </c>
      <c r="B37" s="8">
        <f>(D3-C3)/C3</f>
        <v>0.0433884022027548</v>
      </c>
      <c r="C37" s="9">
        <f>(D4-C4)/C4</f>
        <v>0.0613976334003126</v>
      </c>
      <c r="R37" s="3"/>
      <c r="S37" s="3"/>
      <c r="T37" s="3"/>
      <c r="U37" s="3"/>
      <c r="V37" s="3"/>
      <c r="W37" s="3"/>
      <c r="X37" s="3"/>
    </row>
    <row r="38" spans="1:24">
      <c r="R38" s="3"/>
      <c r="S38" s="3"/>
      <c r="T38" s="3"/>
      <c r="U38" s="3"/>
      <c r="V38" s="3"/>
      <c r="W38" s="3"/>
      <c r="X38" s="3"/>
    </row>
    <row r="39" ht="16.5" spans="1:24">
      <c r="A39" s="2" t="s">
        <v>115</v>
      </c>
      <c r="B39" s="2" t="s">
        <v>116</v>
      </c>
      <c r="C39" s="2" t="s">
        <v>117</v>
      </c>
      <c r="D39" s="2" t="s">
        <v>118</v>
      </c>
    </row>
    <row r="40" ht="16.5" spans="1:24">
      <c r="A40" s="2" t="s">
        <v>125</v>
      </c>
      <c r="B40" s="8">
        <v>0.646263805512255</v>
      </c>
      <c r="C40" s="8">
        <v>0.661037129876234</v>
      </c>
      <c r="D40" s="9">
        <v>0.6731</v>
      </c>
    </row>
    <row r="41" ht="16.5" spans="1:24">
      <c r="A41" s="10" t="s">
        <v>126</v>
      </c>
      <c r="B41" s="8">
        <v>0.6246</v>
      </c>
      <c r="C41" s="8">
        <v>0.6369</v>
      </c>
      <c r="D41" s="8">
        <v>0.648</v>
      </c>
    </row>
    <row r="42" ht="16.5" spans="1:24">
      <c r="A42" s="10" t="s">
        <v>127</v>
      </c>
      <c r="B42" s="8">
        <v>0.7316</v>
      </c>
      <c r="C42" s="8">
        <v>0.7558</v>
      </c>
      <c r="D42" s="9">
        <v>0.7723</v>
      </c>
    </row>
  </sheetData>
  <mergeCells count="2">
    <mergeCell ref="E1:AI1"/>
    <mergeCell ref="R36:X38"/>
  </mergeCells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00_项目说明</vt:lpstr>
      <vt:lpstr>01_raw_5_5_income</vt:lpstr>
      <vt:lpstr>02_raw_5_9_income_expense</vt:lpstr>
      <vt:lpstr>03_raw_5_3_consumption</vt:lpstr>
      <vt:lpstr>04_income_long</vt:lpstr>
      <vt:lpstr>05_income_analysis</vt:lpstr>
      <vt:lpstr>06_income_structure</vt:lpstr>
      <vt:lpstr>07_consumption_analysis</vt:lpstr>
      <vt:lpstr>08_dashboard</vt:lpstr>
      <vt:lpstr>09_data_dictionary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蔡健明</dc:creator>
  <cp:lastModifiedBy>WPS_1629276278</cp:lastModifiedBy>
  <dcterms:created xsi:type="dcterms:W3CDTF">2023-05-12T11:15:00Z</dcterms:created>
  <dcterms:modified xsi:type="dcterms:W3CDTF">2026-05-09T15:50:28Z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0A0CA3234F74472E929D0ACA9CCFD49A_12</vt:lpwstr>
  </property>
  <property fmtid="{D5CDD505-2E9C-101B-9397-08002B2CF9AE}" pid="4" name="CalculationRule">
    <vt:i4>0</vt:i4>
  </property>
</Properties>
</file>